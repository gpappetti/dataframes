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d43f3353d7f3277/Documents/"/>
    </mc:Choice>
  </mc:AlternateContent>
  <xr:revisionPtr revIDLastSave="905" documentId="8_{069C18C6-5CC4-4910-9344-88E81AB6D81E}" xr6:coauthVersionLast="47" xr6:coauthVersionMax="47" xr10:uidLastSave="{B6DC614C-18D0-4C2E-902A-EC55534D9CFC}"/>
  <bookViews>
    <workbookView xWindow="1905" yWindow="1905" windowWidth="28800" windowHeight="11835" activeTab="2" xr2:uid="{B28A7575-D861-4730-AC87-37FD0A67174E}"/>
  </bookViews>
  <sheets>
    <sheet name="Ajustes" sheetId="47" r:id="rId1"/>
    <sheet name="GrafAgosto" sheetId="13" r:id="rId2"/>
    <sheet name="GrafSetembro" sheetId="87" r:id="rId3"/>
    <sheet name="200921IND" sheetId="96" r:id="rId4"/>
    <sheet name="200921" sheetId="95" r:id="rId5"/>
    <sheet name="170921IND" sheetId="93" r:id="rId6"/>
    <sheet name="170921" sheetId="94" r:id="rId7"/>
    <sheet name="160921IND" sheetId="92" r:id="rId8"/>
    <sheet name="160921" sheetId="91" r:id="rId9"/>
    <sheet name="150921IND" sheetId="90" r:id="rId10"/>
    <sheet name="150921" sheetId="89" r:id="rId11"/>
    <sheet name="140921IND" sheetId="86" r:id="rId12"/>
    <sheet name="140921" sheetId="85" r:id="rId13"/>
    <sheet name="130921IND" sheetId="84" r:id="rId14"/>
    <sheet name="130921" sheetId="83" r:id="rId15"/>
    <sheet name="100921IND" sheetId="82" r:id="rId16"/>
    <sheet name="100921" sheetId="81" r:id="rId17"/>
    <sheet name="090921IND" sheetId="80" r:id="rId18"/>
    <sheet name="090921" sheetId="79" r:id="rId19"/>
    <sheet name="080921IND" sheetId="78" r:id="rId20"/>
    <sheet name="080921" sheetId="77" r:id="rId21"/>
    <sheet name="060921IND" sheetId="76" r:id="rId22"/>
    <sheet name="0608021" sheetId="64" r:id="rId23"/>
    <sheet name="030921IND" sheetId="75" r:id="rId24"/>
    <sheet name="030921" sheetId="63" r:id="rId25"/>
    <sheet name="020921IND" sheetId="74" r:id="rId26"/>
    <sheet name="020921" sheetId="62" r:id="rId27"/>
    <sheet name="010921IND" sheetId="73" r:id="rId28"/>
    <sheet name="010921" sheetId="61" r:id="rId29"/>
    <sheet name="310821IND" sheetId="72" r:id="rId30"/>
    <sheet name="310821" sheetId="60" r:id="rId31"/>
    <sheet name="300821IND" sheetId="71" r:id="rId32"/>
    <sheet name="300821" sheetId="59" r:id="rId33"/>
    <sheet name="27082IND" sheetId="70" r:id="rId34"/>
    <sheet name="270821" sheetId="58" r:id="rId35"/>
    <sheet name="260821IND" sheetId="69" r:id="rId36"/>
    <sheet name="260821" sheetId="57" r:id="rId37"/>
    <sheet name="250821IND" sheetId="68" r:id="rId38"/>
    <sheet name="250821" sheetId="56" r:id="rId39"/>
    <sheet name="240821IND" sheetId="67" r:id="rId40"/>
    <sheet name="240821" sheetId="55" r:id="rId41"/>
    <sheet name="230821IND" sheetId="66" r:id="rId42"/>
    <sheet name="230821" sheetId="54" r:id="rId43"/>
    <sheet name="200821" sheetId="53" r:id="rId44"/>
    <sheet name="190821" sheetId="49" r:id="rId45"/>
    <sheet name="180821" sheetId="51" r:id="rId46"/>
    <sheet name="170821" sheetId="45" r:id="rId47"/>
    <sheet name="160821" sheetId="43" r:id="rId48"/>
    <sheet name="130821" sheetId="42" r:id="rId49"/>
    <sheet name="120821" sheetId="22" r:id="rId50"/>
    <sheet name="110821" sheetId="21" r:id="rId51"/>
    <sheet name="100821" sheetId="20" r:id="rId52"/>
    <sheet name="090821" sheetId="15" r:id="rId53"/>
    <sheet name="060821" sheetId="16" r:id="rId54"/>
    <sheet name="050821" sheetId="17" r:id="rId55"/>
    <sheet name="040821" sheetId="18" r:id="rId56"/>
    <sheet name="030821" sheetId="19" r:id="rId57"/>
    <sheet name="020821" sheetId="44" r:id="rId58"/>
  </sheets>
  <definedNames>
    <definedName name="_xlnm._FilterDatabase" localSheetId="28" hidden="1">'010921'!$A$3:$C$44</definedName>
    <definedName name="_xlnm._FilterDatabase" localSheetId="27" hidden="1">'010921IND'!$A$3:$C$37</definedName>
    <definedName name="_xlnm._FilterDatabase" localSheetId="57" hidden="1">'020821'!$A$3:$C$44</definedName>
    <definedName name="_xlnm._FilterDatabase" localSheetId="26" hidden="1">'020921'!$A$3:$C$45</definedName>
    <definedName name="_xlnm._FilterDatabase" localSheetId="25" hidden="1">'020921IND'!$A$3:$C$38</definedName>
    <definedName name="_xlnm._FilterDatabase" localSheetId="56" hidden="1">'030821'!$A$1:$A$42</definedName>
    <definedName name="_xlnm._FilterDatabase" localSheetId="24" hidden="1">'030921'!$A$3:$C$44</definedName>
    <definedName name="_xlnm._FilterDatabase" localSheetId="23" hidden="1">'030921IND'!$A$3:$C$36</definedName>
    <definedName name="_xlnm._FilterDatabase" localSheetId="55" hidden="1">'040821'!$A$1:$A$41</definedName>
    <definedName name="_xlnm._FilterDatabase" localSheetId="54" hidden="1">'050821'!$A$1:$A$42</definedName>
    <definedName name="_xlnm._FilterDatabase" localSheetId="22" hidden="1">'0608021'!$A$3:$C$43</definedName>
    <definedName name="_xlnm._FilterDatabase" localSheetId="53" hidden="1">'060821'!$A$1:$A$42</definedName>
    <definedName name="_xlnm._FilterDatabase" localSheetId="21" hidden="1">'060921IND'!$A$3:$C$38</definedName>
    <definedName name="_xlnm._FilterDatabase" localSheetId="20" hidden="1">'080921'!$A$3:$C$45</definedName>
    <definedName name="_xlnm._FilterDatabase" localSheetId="19" hidden="1">'080921IND'!$A$3:$C$37</definedName>
    <definedName name="_xlnm._FilterDatabase" localSheetId="52" hidden="1">'090821'!$A$1:$A$40</definedName>
    <definedName name="_xlnm._FilterDatabase" localSheetId="18" hidden="1">'090921'!$A$3:$C$44</definedName>
    <definedName name="_xlnm._FilterDatabase" localSheetId="17" hidden="1">'090921IND'!$A$3:$C$38</definedName>
    <definedName name="_xlnm._FilterDatabase" localSheetId="51" hidden="1">'100821'!$A$1:$A$42</definedName>
    <definedName name="_xlnm._FilterDatabase" localSheetId="16" hidden="1">'100921'!$A$3:$C$44</definedName>
    <definedName name="_xlnm._FilterDatabase" localSheetId="15" hidden="1">'100921IND'!$A$3:$C$36</definedName>
    <definedName name="_xlnm._FilterDatabase" localSheetId="50" hidden="1">'110821'!$A$1:$A$41</definedName>
    <definedName name="_xlnm._FilterDatabase" localSheetId="49" hidden="1">'120821'!$A$1:$A$42</definedName>
    <definedName name="_xlnm._FilterDatabase" localSheetId="48" hidden="1">'130821'!$A$3:$C$44</definedName>
    <definedName name="_xlnm._FilterDatabase" localSheetId="14" hidden="1">'130921'!$A$3:$C$44</definedName>
    <definedName name="_xlnm._FilterDatabase" localSheetId="13" hidden="1">'130921IND'!$A$3:$C$38</definedName>
    <definedName name="_xlnm._FilterDatabase" localSheetId="12" hidden="1">'140921'!$A$3:$C$43</definedName>
    <definedName name="_xlnm._FilterDatabase" localSheetId="11" hidden="1">'140921IND'!$A$3:$C$39</definedName>
    <definedName name="_xlnm._FilterDatabase" localSheetId="10" hidden="1">'150921'!$A$3:$C$44</definedName>
    <definedName name="_xlnm._FilterDatabase" localSheetId="9" hidden="1">'150921IND'!$A$3:$C$39</definedName>
    <definedName name="_xlnm._FilterDatabase" localSheetId="47" hidden="1">'160821'!$A$3:$C$44</definedName>
    <definedName name="_xlnm._FilterDatabase" localSheetId="8" hidden="1">'160921'!$A$3:$C$44</definedName>
    <definedName name="_xlnm._FilterDatabase" localSheetId="7" hidden="1">'160921IND'!$A$3:$C$35</definedName>
    <definedName name="_xlnm._FilterDatabase" localSheetId="46" hidden="1">'170821'!$A$3:$C$41</definedName>
    <definedName name="_xlnm._FilterDatabase" localSheetId="6" hidden="1">'170921'!$A$3:$C$46</definedName>
    <definedName name="_xlnm._FilterDatabase" localSheetId="5" hidden="1">'170921IND'!$A$3:$C$42</definedName>
    <definedName name="_xlnm._FilterDatabase" localSheetId="45" hidden="1">'180821'!$A$3:$C$44</definedName>
    <definedName name="_xlnm._FilterDatabase" localSheetId="44" hidden="1">'190821'!$A$3:$C$45</definedName>
    <definedName name="_xlnm._FilterDatabase" localSheetId="43" hidden="1">'200821'!$A$3:$C$45</definedName>
    <definedName name="_xlnm._FilterDatabase" localSheetId="4" hidden="1">'200921'!$A$3:$C$45</definedName>
    <definedName name="_xlnm._FilterDatabase" localSheetId="3" hidden="1">'200921IND'!$A$3:$C$40</definedName>
    <definedName name="_xlnm._FilterDatabase" localSheetId="42" hidden="1">'230821'!$A$1:$C$43</definedName>
    <definedName name="_xlnm._FilterDatabase" localSheetId="41" hidden="1">'230821IND'!$A$3:$C$37</definedName>
    <definedName name="_xlnm._FilterDatabase" localSheetId="40" hidden="1">'240821'!$A$3:$C$45</definedName>
    <definedName name="_xlnm._FilterDatabase" localSheetId="39" hidden="1">'240821IND'!$A$3:$C$37</definedName>
    <definedName name="_xlnm._FilterDatabase" localSheetId="38" hidden="1">'250821'!$A$3:$C$45</definedName>
    <definedName name="_xlnm._FilterDatabase" localSheetId="37" hidden="1">'250821IND'!$A$3:$C$37</definedName>
    <definedName name="_xlnm._FilterDatabase" localSheetId="36" hidden="1">'260821'!$A$3:$C$44</definedName>
    <definedName name="_xlnm._FilterDatabase" localSheetId="35" hidden="1">'260821IND'!$A$3:$C$38</definedName>
    <definedName name="_xlnm._FilterDatabase" localSheetId="34" hidden="1">'270821'!$A$3:$C$45</definedName>
    <definedName name="_xlnm._FilterDatabase" localSheetId="33" hidden="1">'27082IND'!$A$3:$C$40</definedName>
    <definedName name="_xlnm._FilterDatabase" localSheetId="32" hidden="1">'300821'!$A$3:$C$44</definedName>
    <definedName name="_xlnm._FilterDatabase" localSheetId="31" hidden="1">'300821IND'!$A$3:$C$36</definedName>
    <definedName name="_xlnm._FilterDatabase" localSheetId="30" hidden="1">'310821'!$A$3:$C$44</definedName>
    <definedName name="_xlnm._FilterDatabase" localSheetId="29" hidden="1">'310821IND'!$A$3:$C$37</definedName>
    <definedName name="DadosExternos_2" localSheetId="0" hidden="1">Ajustes!$A$1:$F$533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4" i="87" l="1"/>
  <c r="C14" i="87"/>
  <c r="F13" i="87"/>
  <c r="D13" i="87"/>
  <c r="C13" i="87"/>
  <c r="A2" i="96"/>
  <c r="A2" i="95"/>
  <c r="A2" i="94"/>
  <c r="A2" i="93"/>
  <c r="A2" i="92"/>
  <c r="A2" i="91"/>
  <c r="A2" i="90"/>
  <c r="A2" i="89"/>
  <c r="A2" i="86"/>
  <c r="A2" i="85"/>
  <c r="A2" i="84"/>
  <c r="A2" i="83"/>
  <c r="A2" i="82"/>
  <c r="A2" i="81"/>
  <c r="A2" i="80"/>
  <c r="A2" i="79"/>
  <c r="A2" i="78"/>
  <c r="A2" i="77"/>
  <c r="A2" i="76"/>
  <c r="A2" i="75"/>
  <c r="A2" i="74"/>
  <c r="A2" i="73"/>
  <c r="A2" i="72"/>
  <c r="A2" i="71"/>
  <c r="A2" i="70"/>
  <c r="A2" i="69"/>
  <c r="A2" i="68"/>
  <c r="A2" i="67"/>
  <c r="A2" i="66"/>
  <c r="A2" i="64"/>
  <c r="A2" i="63"/>
  <c r="A2" i="62"/>
  <c r="A2" i="61"/>
  <c r="A2" i="60"/>
  <c r="A2" i="59"/>
  <c r="A2" i="58"/>
  <c r="A2" i="57"/>
  <c r="A2" i="56"/>
  <c r="A2" i="55"/>
  <c r="D1" i="54"/>
  <c r="A2" i="53"/>
  <c r="C15" i="13"/>
  <c r="C14" i="13"/>
  <c r="A2" i="51"/>
  <c r="A2" i="49"/>
  <c r="C13" i="13"/>
  <c r="A2" i="45"/>
  <c r="C2" i="13"/>
  <c r="A2" i="44"/>
  <c r="C12" i="13"/>
  <c r="C11" i="13"/>
  <c r="A2" i="42"/>
  <c r="A2" i="43"/>
  <c r="C10" i="13"/>
  <c r="B43" i="22"/>
  <c r="B42" i="21"/>
  <c r="B43" i="20"/>
  <c r="B41" i="15"/>
  <c r="B43" i="16"/>
  <c r="B43" i="17"/>
  <c r="B42" i="18"/>
  <c r="B43" i="19"/>
  <c r="E3" i="1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60D997C-3B88-4514-9022-B092CAA5C74A}" keepAlive="1" name="Consulta - Table 0" description="Conexão com a consulta 'Table 0' na pasta de trabalho." type="5" refreshedVersion="7" background="1" saveData="1">
    <dbPr connection="Provider=Microsoft.Mashup.OleDb.1;Data Source=$Workbook$;Location=&quot;Table 0&quot;;Extended Properties=&quot;&quot;" command="SELECT * FROM [Table 0]"/>
  </connection>
  <connection id="2" xr16:uid="{5BD6AE02-0194-4473-823E-DE52A0EBE094}" keepAlive="1" name="Consulta - Table 0 (2)" description="Conexão com a consulta 'Table 0 (2)' na pasta de trabalho." type="5" refreshedVersion="7" background="1" saveData="1">
    <dbPr connection="Provider=Microsoft.Mashup.OleDb.1;Data Source=$Workbook$;Location=&quot;Table 0 (2)&quot;;Extended Properties=&quot;&quot;" command="SELECT * FROM [Table 0 (2)]"/>
  </connection>
</connections>
</file>

<file path=xl/sharedStrings.xml><?xml version="1.0" encoding="utf-8"?>
<sst xmlns="http://schemas.openxmlformats.org/spreadsheetml/2006/main" count="3460" uniqueCount="185">
  <si>
    <t>FECHAMENTO</t>
  </si>
  <si>
    <t>DATA</t>
  </si>
  <si>
    <t>AJUSTE</t>
  </si>
  <si>
    <t>Corretora</t>
  </si>
  <si>
    <t>Vol. Qtd</t>
  </si>
  <si>
    <t>Média</t>
  </si>
  <si>
    <t>XP</t>
  </si>
  <si>
    <t>JP Morgan</t>
  </si>
  <si>
    <t>UBS</t>
  </si>
  <si>
    <t>Genial</t>
  </si>
  <si>
    <t>Toro</t>
  </si>
  <si>
    <t>Santander</t>
  </si>
  <si>
    <t>C6</t>
  </si>
  <si>
    <t>Guide</t>
  </si>
  <si>
    <t>Ativa</t>
  </si>
  <si>
    <t>Terra</t>
  </si>
  <si>
    <t>Clear</t>
  </si>
  <si>
    <t>Credit</t>
  </si>
  <si>
    <t>Rico</t>
  </si>
  <si>
    <t>ICAP</t>
  </si>
  <si>
    <t>Necton</t>
  </si>
  <si>
    <t>Agora</t>
  </si>
  <si>
    <t>Fator</t>
  </si>
  <si>
    <t>Elite</t>
  </si>
  <si>
    <t>Safra</t>
  </si>
  <si>
    <t>Intl</t>
  </si>
  <si>
    <t>Planner</t>
  </si>
  <si>
    <t>Inter</t>
  </si>
  <si>
    <t>Tullett</t>
  </si>
  <si>
    <t>Mirae</t>
  </si>
  <si>
    <t>Socopa</t>
  </si>
  <si>
    <t>Orama</t>
  </si>
  <si>
    <t>H.commcor</t>
  </si>
  <si>
    <t>Goldman</t>
  </si>
  <si>
    <t>Easynvest</t>
  </si>
  <si>
    <t>BTG</t>
  </si>
  <si>
    <t>Nova Futura</t>
  </si>
  <si>
    <t>Capital</t>
  </si>
  <si>
    <t>Modal</t>
  </si>
  <si>
    <t>Itau</t>
  </si>
  <si>
    <t>Ideal</t>
  </si>
  <si>
    <t>Bradesco</t>
  </si>
  <si>
    <t>Merrill</t>
  </si>
  <si>
    <t>BGC Liquidez</t>
  </si>
  <si>
    <t>Morgan</t>
  </si>
  <si>
    <t>Warren</t>
  </si>
  <si>
    <t>Renascenca</t>
  </si>
  <si>
    <t>Vitreo DTVM S.A.</t>
  </si>
  <si>
    <t>SOMA FILTRADO</t>
  </si>
  <si>
    <t>total filtrado</t>
  </si>
  <si>
    <t>Mercadoria</t>
  </si>
  <si>
    <t>Vencimento</t>
  </si>
  <si>
    <t>Preço de ajuste anterior</t>
  </si>
  <si>
    <t>Preço de ajuste Atual</t>
  </si>
  <si>
    <t>Variação</t>
  </si>
  <si>
    <t>Valor do ajuste por contrato (R$)</t>
  </si>
  <si>
    <t>AFS - RANDE DA AFRICA DO SUL (TIPO A)</t>
  </si>
  <si>
    <t>U21</t>
  </si>
  <si>
    <t>V21</t>
  </si>
  <si>
    <t>X21</t>
  </si>
  <si>
    <t>Z21</t>
  </si>
  <si>
    <t>F22</t>
  </si>
  <si>
    <t>ARB - Peso Argertino</t>
  </si>
  <si>
    <t>ARS - Peso Argertino</t>
  </si>
  <si>
    <t>AUD - Dólar comercial australiano</t>
  </si>
  <si>
    <t>AUS - DÓLAR AUSTRALIANO (TIPO B)</t>
  </si>
  <si>
    <t>B3SAO - Contrato Futuro de B3SA3</t>
  </si>
  <si>
    <t>BGI - Boi gordo</t>
  </si>
  <si>
    <t>G22</t>
  </si>
  <si>
    <t>H22</t>
  </si>
  <si>
    <t>J22</t>
  </si>
  <si>
    <t>K22</t>
  </si>
  <si>
    <t>V22</t>
  </si>
  <si>
    <t>BRI - IBrX-50</t>
  </si>
  <si>
    <t>CAD - Dólar comercial canadense</t>
  </si>
  <si>
    <t>CAN - DÓLAR CANADENSE (TIPO A)</t>
  </si>
  <si>
    <t>CCM - Milho</t>
  </si>
  <si>
    <t>N22</t>
  </si>
  <si>
    <t>U22</t>
  </si>
  <si>
    <t>X22</t>
  </si>
  <si>
    <t>CCROO - Contrato Futuro de CCRO3</t>
  </si>
  <si>
    <t>CHF - FRANCO SUÍÇO</t>
  </si>
  <si>
    <t>CHL - PESO CHILENO (TIPO A)</t>
  </si>
  <si>
    <t>CIELO - Contrato Futuro de CIEL3</t>
  </si>
  <si>
    <t>CLP - PESO CHILENO</t>
  </si>
  <si>
    <t>CMIGP - Contrato Futuro de CMIG4</t>
  </si>
  <si>
    <t>CNH - IUAN CHINÊS (TIPO A)</t>
  </si>
  <si>
    <t>CNY - IUAN</t>
  </si>
  <si>
    <t>DAP - Cupom de DI x IPCA</t>
  </si>
  <si>
    <t>Q22</t>
  </si>
  <si>
    <t>F23</t>
  </si>
  <si>
    <t>K23</t>
  </si>
  <si>
    <t>Q24</t>
  </si>
  <si>
    <t>K25</t>
  </si>
  <si>
    <t>Q26</t>
  </si>
  <si>
    <t>Q28</t>
  </si>
  <si>
    <t>Q30</t>
  </si>
  <si>
    <t>K35</t>
  </si>
  <si>
    <t>Q40</t>
  </si>
  <si>
    <t>K45</t>
  </si>
  <si>
    <t>Q50</t>
  </si>
  <si>
    <t>K55</t>
  </si>
  <si>
    <t>DCO - Cupom Cambial em OC1</t>
  </si>
  <si>
    <t>M22</t>
  </si>
  <si>
    <t>J23</t>
  </si>
  <si>
    <t>N23</t>
  </si>
  <si>
    <t>V23</t>
  </si>
  <si>
    <t>F24</t>
  </si>
  <si>
    <t>J24</t>
  </si>
  <si>
    <t>N24</t>
  </si>
  <si>
    <t>V24</t>
  </si>
  <si>
    <t>F25</t>
  </si>
  <si>
    <t>J25</t>
  </si>
  <si>
    <t>N25</t>
  </si>
  <si>
    <t>V25</t>
  </si>
  <si>
    <t>F26</t>
  </si>
  <si>
    <t>J26</t>
  </si>
  <si>
    <t>N26</t>
  </si>
  <si>
    <t>F27</t>
  </si>
  <si>
    <t>F28</t>
  </si>
  <si>
    <t>F29</t>
  </si>
  <si>
    <t>F30</t>
  </si>
  <si>
    <t>F31</t>
  </si>
  <si>
    <t>F33</t>
  </si>
  <si>
    <t>F35</t>
  </si>
  <si>
    <t>F36</t>
  </si>
  <si>
    <t>DDI - Cupom cambial</t>
  </si>
  <si>
    <t>DI1 - DI de 1 dia</t>
  </si>
  <si>
    <t>DOL - Dólar comercial</t>
  </si>
  <si>
    <t>ETH - Etanol Hidratado</t>
  </si>
  <si>
    <t>EUP - EURO (TIPO B)</t>
  </si>
  <si>
    <t>EUR - Euro</t>
  </si>
  <si>
    <t>FRC - FRA de cupom</t>
  </si>
  <si>
    <t>FRO - FRA de Cupom Cambial em OC1</t>
  </si>
  <si>
    <t>GBP - Libra Esterlina</t>
  </si>
  <si>
    <t>GBR - LIBRA ESTERLINA (TIPO B)</t>
  </si>
  <si>
    <t>HSI - Contrato Futuro de Índice BVMF Hang Seng</t>
  </si>
  <si>
    <t>HYPEO - Contrato Futuro de HYPE3</t>
  </si>
  <si>
    <t>ICF - Café Arábica 4/5</t>
  </si>
  <si>
    <t>Z22</t>
  </si>
  <si>
    <t>IMV - Contrato Futuro de Indice Merval</t>
  </si>
  <si>
    <t>IND - Ibovespa</t>
  </si>
  <si>
    <t>G23</t>
  </si>
  <si>
    <t>M23</t>
  </si>
  <si>
    <t>Q23</t>
  </si>
  <si>
    <t>INK - Contrato Futuro de Indice Nikkei</t>
  </si>
  <si>
    <t>ISP - S&amp;P 500</t>
  </si>
  <si>
    <t>JAP - IENE JAPONÊS (TIPO A)</t>
  </si>
  <si>
    <t>JPY - Iene</t>
  </si>
  <si>
    <t>JSE - Contrato Futuro de Índice BVMF FTSE/JSE TOP 40</t>
  </si>
  <si>
    <t>MEX - PESO MEXICANO (TIPO A)</t>
  </si>
  <si>
    <t>MIX - Contrato Futuro de Índice BVMF MICEX</t>
  </si>
  <si>
    <t>MXN - Peso mexicano</t>
  </si>
  <si>
    <t>NOK - COROA NORUEGUESA (TIPO A)</t>
  </si>
  <si>
    <t>NZD - DÓLAR DA NOVA ZELÂNDIA</t>
  </si>
  <si>
    <t>NZL - DÓLAR NOVA ZELANDIA (TIPO B)</t>
  </si>
  <si>
    <t>OC1 - Contrato Futuro de OC1</t>
  </si>
  <si>
    <t>OZ1 - Ouro 250g</t>
  </si>
  <si>
    <t>PETRP - Contrato Futuro de PETR4</t>
  </si>
  <si>
    <t>PSSAO - Contrato Futuro de PSSA3</t>
  </si>
  <si>
    <t>RUB - RUBLO RUSSO (TIPO A)</t>
  </si>
  <si>
    <t>SEK - COROA SUECA (TIPO A)</t>
  </si>
  <si>
    <t>SJC - Soja Financeira Cross Listing</t>
  </si>
  <si>
    <t>SWI - FRANCO SUIÇO (TIPO A)</t>
  </si>
  <si>
    <t>T10 - US T-Note 10 anos</t>
  </si>
  <si>
    <t>TRY - LIRA TURCA</t>
  </si>
  <si>
    <t>TUQ - LIRA TURCA (TIPO A)</t>
  </si>
  <si>
    <t>USIMA - Contrato Futuro de USIM5</t>
  </si>
  <si>
    <t>VALEO - Contrato Futuro de VALE3</t>
  </si>
  <si>
    <t>WDO - Dólar Mini - WDO</t>
  </si>
  <si>
    <t>WEU - EURO MÍNI</t>
  </si>
  <si>
    <t>WIN - Ibovespa Mini</t>
  </si>
  <si>
    <t>WSP - S&amp;P 500</t>
  </si>
  <si>
    <t>ZAR - RANDE DA ÁFRICA DO SUL</t>
  </si>
  <si>
    <t>Merc.</t>
  </si>
  <si>
    <t xml:space="preserve">2.848.635 </t>
  </si>
  <si>
    <t xml:space="preserve">-2.607.375 </t>
  </si>
  <si>
    <t>y=10,208*x^2 - 907122x +2E+10</t>
  </si>
  <si>
    <t>R^2 = 0,5017</t>
  </si>
  <si>
    <t>Votorantim</t>
  </si>
  <si>
    <t>Citigroup</t>
  </si>
  <si>
    <t>SALDO WINFUT</t>
  </si>
  <si>
    <t>SALDO INDFUT</t>
  </si>
  <si>
    <t>U23</t>
  </si>
  <si>
    <t>112.19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</si>
</sst>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dmmyyyy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4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21">
    <xf numFmtId="0" fontId="0" fillId="0" borderId="0" xfId="0"/>
    <xf numFmtId="3" fontId="0" fillId="0" borderId="0" xfId="0" applyNumberFormat="1"/>
    <xf numFmtId="14" fontId="0" fillId="0" borderId="0" xfId="0" applyNumberFormat="1"/>
    <xf numFmtId="2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0" fillId="0" borderId="2" xfId="0" applyFont="1" applyBorder="1"/>
    <xf numFmtId="0" fontId="0" fillId="3" borderId="2" xfId="0" applyFont="1" applyFill="1" applyBorder="1"/>
    <xf numFmtId="0" fontId="0" fillId="3" borderId="3" xfId="0" applyFont="1" applyFill="1" applyBorder="1"/>
    <xf numFmtId="0" fontId="0" fillId="0" borderId="3" xfId="0" applyFont="1" applyBorder="1"/>
    <xf numFmtId="0" fontId="0" fillId="3" borderId="1" xfId="0" applyNumberFormat="1" applyFont="1" applyFill="1" applyBorder="1"/>
    <xf numFmtId="0" fontId="0" fillId="3" borderId="2" xfId="0" applyNumberFormat="1" applyFont="1" applyFill="1" applyBorder="1"/>
    <xf numFmtId="0" fontId="0" fillId="0" borderId="1" xfId="0" applyNumberFormat="1" applyFont="1" applyBorder="1"/>
    <xf numFmtId="0" fontId="0" fillId="0" borderId="2" xfId="0" applyNumberFormat="1" applyFont="1" applyBorder="1"/>
    <xf numFmtId="1" fontId="0" fillId="0" borderId="0" xfId="0" applyNumberFormat="1" applyFill="1"/>
    <xf numFmtId="0" fontId="0" fillId="0" borderId="2" xfId="0" applyFont="1" applyFill="1" applyBorder="1"/>
    <xf numFmtId="0" fontId="0" fillId="0" borderId="0" xfId="0" applyFont="1" applyFill="1" applyBorder="1"/>
  </cellXfs>
  <cellStyles count="1">
    <cellStyle name="Normal" xfId="0" builtinId="0"/>
  </cellStyles>
  <dxfs count="2">
    <dxf>
      <numFmt numFmtId="0" formatCode="General"/>
    </dxf>
    <dxf>
      <numFmt numFmtId="0" formatCode="General"/>
    </dxf>
  </dxfs>
  <tableStyles count="1" defaultTableStyle="TableStyleMedium2" defaultPivotStyle="PivotStyleLight16">
    <tableStyle name="Invisible" pivot="0" table="0" count="0" xr9:uid="{EC9121C3-DC18-440D-8405-FCDC02823CE8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61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onnections" Target="connections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Saldo das corretoras/BI estrangeiras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1560321145998348E-2"/>
          <c:y val="8.9265961561530383E-2"/>
          <c:w val="0.86633684906331498"/>
          <c:h val="0.82920545954602831"/>
        </c:manualLayout>
      </c:layout>
      <c:lineChart>
        <c:grouping val="standard"/>
        <c:varyColors val="0"/>
        <c:ser>
          <c:idx val="0"/>
          <c:order val="0"/>
          <c:tx>
            <c:strRef>
              <c:f>GrafAgosto!$C$1</c:f>
              <c:strCache>
                <c:ptCount val="1"/>
                <c:pt idx="0">
                  <c:v>SALDO WINFUT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GrafAgosto!$A$2:$A$32</c:f>
              <c:numCache>
                <c:formatCode>m/d/yyyy</c:formatCode>
                <c:ptCount val="31"/>
                <c:pt idx="0">
                  <c:v>44410</c:v>
                </c:pt>
                <c:pt idx="1">
                  <c:v>44411</c:v>
                </c:pt>
                <c:pt idx="2">
                  <c:v>44412</c:v>
                </c:pt>
                <c:pt idx="3">
                  <c:v>44413</c:v>
                </c:pt>
                <c:pt idx="4">
                  <c:v>44414</c:v>
                </c:pt>
                <c:pt idx="5">
                  <c:v>44417</c:v>
                </c:pt>
                <c:pt idx="6">
                  <c:v>44418</c:v>
                </c:pt>
                <c:pt idx="7">
                  <c:v>44419</c:v>
                </c:pt>
                <c:pt idx="8">
                  <c:v>44420</c:v>
                </c:pt>
                <c:pt idx="9">
                  <c:v>44421</c:v>
                </c:pt>
                <c:pt idx="10">
                  <c:v>44424</c:v>
                </c:pt>
                <c:pt idx="11">
                  <c:v>44425</c:v>
                </c:pt>
                <c:pt idx="12">
                  <c:v>44426</c:v>
                </c:pt>
                <c:pt idx="13">
                  <c:v>44427</c:v>
                </c:pt>
                <c:pt idx="14">
                  <c:v>44428</c:v>
                </c:pt>
                <c:pt idx="15">
                  <c:v>44431</c:v>
                </c:pt>
                <c:pt idx="16">
                  <c:v>44432</c:v>
                </c:pt>
                <c:pt idx="17">
                  <c:v>44433</c:v>
                </c:pt>
                <c:pt idx="18">
                  <c:v>44434</c:v>
                </c:pt>
                <c:pt idx="19">
                  <c:v>44435</c:v>
                </c:pt>
                <c:pt idx="20">
                  <c:v>44438</c:v>
                </c:pt>
                <c:pt idx="21">
                  <c:v>44439</c:v>
                </c:pt>
                <c:pt idx="22">
                  <c:v>44440</c:v>
                </c:pt>
                <c:pt idx="23">
                  <c:v>44441</c:v>
                </c:pt>
                <c:pt idx="24">
                  <c:v>44442</c:v>
                </c:pt>
                <c:pt idx="25">
                  <c:v>44445</c:v>
                </c:pt>
                <c:pt idx="26">
                  <c:v>44447</c:v>
                </c:pt>
                <c:pt idx="27">
                  <c:v>44448</c:v>
                </c:pt>
                <c:pt idx="28">
                  <c:v>44449</c:v>
                </c:pt>
                <c:pt idx="29">
                  <c:v>44452</c:v>
                </c:pt>
                <c:pt idx="30">
                  <c:v>44453</c:v>
                </c:pt>
              </c:numCache>
            </c:numRef>
          </c:cat>
          <c:val>
            <c:numRef>
              <c:f>GrafAgosto!$C$2:$C$32</c:f>
              <c:numCache>
                <c:formatCode>0</c:formatCode>
                <c:ptCount val="31"/>
                <c:pt idx="0">
                  <c:v>23392</c:v>
                </c:pt>
                <c:pt idx="1">
                  <c:v>110962</c:v>
                </c:pt>
                <c:pt idx="2">
                  <c:v>57730</c:v>
                </c:pt>
                <c:pt idx="3">
                  <c:v>3680</c:v>
                </c:pt>
                <c:pt idx="4">
                  <c:v>46990</c:v>
                </c:pt>
                <c:pt idx="5">
                  <c:v>10100</c:v>
                </c:pt>
                <c:pt idx="6">
                  <c:v>-48822</c:v>
                </c:pt>
                <c:pt idx="7">
                  <c:v>42000</c:v>
                </c:pt>
                <c:pt idx="8">
                  <c:v>-11745</c:v>
                </c:pt>
                <c:pt idx="9">
                  <c:v>3407</c:v>
                </c:pt>
                <c:pt idx="10">
                  <c:v>23392</c:v>
                </c:pt>
                <c:pt idx="11">
                  <c:v>5139</c:v>
                </c:pt>
                <c:pt idx="12">
                  <c:v>51597</c:v>
                </c:pt>
                <c:pt idx="13">
                  <c:v>-50854</c:v>
                </c:pt>
                <c:pt idx="14" formatCode="General">
                  <c:v>-15840</c:v>
                </c:pt>
                <c:pt idx="15">
                  <c:v>-7873</c:v>
                </c:pt>
                <c:pt idx="16">
                  <c:v>69637</c:v>
                </c:pt>
                <c:pt idx="17">
                  <c:v>-6262</c:v>
                </c:pt>
                <c:pt idx="18">
                  <c:v>-8673</c:v>
                </c:pt>
                <c:pt idx="19">
                  <c:v>49608</c:v>
                </c:pt>
                <c:pt idx="20">
                  <c:v>-32489</c:v>
                </c:pt>
                <c:pt idx="21">
                  <c:v>-35546</c:v>
                </c:pt>
                <c:pt idx="22">
                  <c:v>50088</c:v>
                </c:pt>
                <c:pt idx="23">
                  <c:v>-23138</c:v>
                </c:pt>
                <c:pt idx="24">
                  <c:v>26125</c:v>
                </c:pt>
                <c:pt idx="25">
                  <c:v>41071</c:v>
                </c:pt>
                <c:pt idx="26">
                  <c:v>-28343</c:v>
                </c:pt>
                <c:pt idx="27">
                  <c:v>10508</c:v>
                </c:pt>
                <c:pt idx="28">
                  <c:v>43286</c:v>
                </c:pt>
                <c:pt idx="29">
                  <c:v>64650</c:v>
                </c:pt>
                <c:pt idx="30">
                  <c:v>-36913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A8E5-4EDC-9A69-891D5D5F57ED}"/>
            </c:ext>
          </c:extLst>
        </c:ser>
        <c:ser>
          <c:idx val="3"/>
          <c:order val="1"/>
          <c:tx>
            <c:strRef>
              <c:f>GrafAgosto!$D$1</c:f>
              <c:strCache>
                <c:ptCount val="1"/>
                <c:pt idx="0">
                  <c:v>SALDO INDFUT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GrafAgosto!$A$2:$A$32</c:f>
              <c:numCache>
                <c:formatCode>m/d/yyyy</c:formatCode>
                <c:ptCount val="31"/>
                <c:pt idx="0">
                  <c:v>44410</c:v>
                </c:pt>
                <c:pt idx="1">
                  <c:v>44411</c:v>
                </c:pt>
                <c:pt idx="2">
                  <c:v>44412</c:v>
                </c:pt>
                <c:pt idx="3">
                  <c:v>44413</c:v>
                </c:pt>
                <c:pt idx="4">
                  <c:v>44414</c:v>
                </c:pt>
                <c:pt idx="5">
                  <c:v>44417</c:v>
                </c:pt>
                <c:pt idx="6">
                  <c:v>44418</c:v>
                </c:pt>
                <c:pt idx="7">
                  <c:v>44419</c:v>
                </c:pt>
                <c:pt idx="8">
                  <c:v>44420</c:v>
                </c:pt>
                <c:pt idx="9">
                  <c:v>44421</c:v>
                </c:pt>
                <c:pt idx="10">
                  <c:v>44424</c:v>
                </c:pt>
                <c:pt idx="11">
                  <c:v>44425</c:v>
                </c:pt>
                <c:pt idx="12">
                  <c:v>44426</c:v>
                </c:pt>
                <c:pt idx="13">
                  <c:v>44427</c:v>
                </c:pt>
                <c:pt idx="14">
                  <c:v>44428</c:v>
                </c:pt>
                <c:pt idx="15">
                  <c:v>44431</c:v>
                </c:pt>
                <c:pt idx="16">
                  <c:v>44432</c:v>
                </c:pt>
                <c:pt idx="17">
                  <c:v>44433</c:v>
                </c:pt>
                <c:pt idx="18">
                  <c:v>44434</c:v>
                </c:pt>
                <c:pt idx="19">
                  <c:v>44435</c:v>
                </c:pt>
                <c:pt idx="20">
                  <c:v>44438</c:v>
                </c:pt>
                <c:pt idx="21">
                  <c:v>44439</c:v>
                </c:pt>
                <c:pt idx="22">
                  <c:v>44440</c:v>
                </c:pt>
                <c:pt idx="23">
                  <c:v>44441</c:v>
                </c:pt>
                <c:pt idx="24">
                  <c:v>44442</c:v>
                </c:pt>
                <c:pt idx="25">
                  <c:v>44445</c:v>
                </c:pt>
                <c:pt idx="26">
                  <c:v>44447</c:v>
                </c:pt>
                <c:pt idx="27">
                  <c:v>44448</c:v>
                </c:pt>
                <c:pt idx="28">
                  <c:v>44449</c:v>
                </c:pt>
                <c:pt idx="29">
                  <c:v>44452</c:v>
                </c:pt>
                <c:pt idx="30">
                  <c:v>44453</c:v>
                </c:pt>
              </c:numCache>
            </c:numRef>
          </c:cat>
          <c:val>
            <c:numRef>
              <c:f>GrafAgosto!$D$2:$D$32</c:f>
              <c:numCache>
                <c:formatCode>0</c:formatCode>
                <c:ptCount val="31"/>
                <c:pt idx="15">
                  <c:v>-2815</c:v>
                </c:pt>
                <c:pt idx="16">
                  <c:v>1385</c:v>
                </c:pt>
                <c:pt idx="17">
                  <c:v>2740</c:v>
                </c:pt>
                <c:pt idx="18">
                  <c:v>1360</c:v>
                </c:pt>
                <c:pt idx="19">
                  <c:v>1310</c:v>
                </c:pt>
                <c:pt idx="20">
                  <c:v>4225</c:v>
                </c:pt>
                <c:pt idx="21">
                  <c:v>3360</c:v>
                </c:pt>
                <c:pt idx="22">
                  <c:v>-3040</c:v>
                </c:pt>
                <c:pt idx="23">
                  <c:v>10010</c:v>
                </c:pt>
                <c:pt idx="24">
                  <c:v>-3515</c:v>
                </c:pt>
                <c:pt idx="25">
                  <c:v>2870</c:v>
                </c:pt>
                <c:pt idx="26">
                  <c:v>2175</c:v>
                </c:pt>
                <c:pt idx="27">
                  <c:v>-4340</c:v>
                </c:pt>
                <c:pt idx="28">
                  <c:v>-6195</c:v>
                </c:pt>
                <c:pt idx="29">
                  <c:v>-3155</c:v>
                </c:pt>
                <c:pt idx="30">
                  <c:v>1550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D7C-4C20-97B2-811E2E12E4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3990831"/>
        <c:axId val="703987919"/>
      </c:lineChart>
      <c:lineChart>
        <c:grouping val="standard"/>
        <c:varyColors val="0"/>
        <c:ser>
          <c:idx val="1"/>
          <c:order val="2"/>
          <c:tx>
            <c:strRef>
              <c:f>GrafAgosto!$E$1</c:f>
              <c:strCache>
                <c:ptCount val="1"/>
                <c:pt idx="0">
                  <c:v>FECHAMENTO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GrafAgosto!$A$2:$A$32</c:f>
              <c:numCache>
                <c:formatCode>m/d/yyyy</c:formatCode>
                <c:ptCount val="31"/>
                <c:pt idx="0">
                  <c:v>44410</c:v>
                </c:pt>
                <c:pt idx="1">
                  <c:v>44411</c:v>
                </c:pt>
                <c:pt idx="2">
                  <c:v>44412</c:v>
                </c:pt>
                <c:pt idx="3">
                  <c:v>44413</c:v>
                </c:pt>
                <c:pt idx="4">
                  <c:v>44414</c:v>
                </c:pt>
                <c:pt idx="5">
                  <c:v>44417</c:v>
                </c:pt>
                <c:pt idx="6">
                  <c:v>44418</c:v>
                </c:pt>
                <c:pt idx="7">
                  <c:v>44419</c:v>
                </c:pt>
                <c:pt idx="8">
                  <c:v>44420</c:v>
                </c:pt>
                <c:pt idx="9">
                  <c:v>44421</c:v>
                </c:pt>
                <c:pt idx="10">
                  <c:v>44424</c:v>
                </c:pt>
                <c:pt idx="11">
                  <c:v>44425</c:v>
                </c:pt>
                <c:pt idx="12">
                  <c:v>44426</c:v>
                </c:pt>
                <c:pt idx="13">
                  <c:v>44427</c:v>
                </c:pt>
                <c:pt idx="14">
                  <c:v>44428</c:v>
                </c:pt>
                <c:pt idx="15">
                  <c:v>44431</c:v>
                </c:pt>
                <c:pt idx="16">
                  <c:v>44432</c:v>
                </c:pt>
                <c:pt idx="17">
                  <c:v>44433</c:v>
                </c:pt>
                <c:pt idx="18">
                  <c:v>44434</c:v>
                </c:pt>
                <c:pt idx="19">
                  <c:v>44435</c:v>
                </c:pt>
                <c:pt idx="20">
                  <c:v>44438</c:v>
                </c:pt>
                <c:pt idx="21">
                  <c:v>44439</c:v>
                </c:pt>
                <c:pt idx="22">
                  <c:v>44440</c:v>
                </c:pt>
                <c:pt idx="23">
                  <c:v>44441</c:v>
                </c:pt>
                <c:pt idx="24">
                  <c:v>44442</c:v>
                </c:pt>
                <c:pt idx="25">
                  <c:v>44445</c:v>
                </c:pt>
                <c:pt idx="26">
                  <c:v>44447</c:v>
                </c:pt>
                <c:pt idx="27">
                  <c:v>44448</c:v>
                </c:pt>
                <c:pt idx="28">
                  <c:v>44449</c:v>
                </c:pt>
                <c:pt idx="29">
                  <c:v>44452</c:v>
                </c:pt>
                <c:pt idx="30">
                  <c:v>44453</c:v>
                </c:pt>
              </c:numCache>
            </c:numRef>
          </c:cat>
          <c:val>
            <c:numRef>
              <c:f>GrafAgosto!$E$2:$E$32</c:f>
              <c:numCache>
                <c:formatCode>0</c:formatCode>
                <c:ptCount val="31"/>
                <c:pt idx="0">
                  <c:v>123180</c:v>
                </c:pt>
                <c:pt idx="1">
                  <c:v>123230</c:v>
                </c:pt>
                <c:pt idx="2">
                  <c:v>122020</c:v>
                </c:pt>
                <c:pt idx="3">
                  <c:v>121100</c:v>
                </c:pt>
                <c:pt idx="4">
                  <c:v>123070</c:v>
                </c:pt>
                <c:pt idx="5">
                  <c:v>123015</c:v>
                </c:pt>
                <c:pt idx="6">
                  <c:v>122450</c:v>
                </c:pt>
                <c:pt idx="7">
                  <c:v>122030</c:v>
                </c:pt>
                <c:pt idx="8">
                  <c:v>120700</c:v>
                </c:pt>
                <c:pt idx="9">
                  <c:v>121195</c:v>
                </c:pt>
                <c:pt idx="10">
                  <c:v>119630</c:v>
                </c:pt>
                <c:pt idx="11">
                  <c:v>117980</c:v>
                </c:pt>
                <c:pt idx="12">
                  <c:v>116640</c:v>
                </c:pt>
                <c:pt idx="13">
                  <c:v>117164</c:v>
                </c:pt>
                <c:pt idx="14" formatCode="General">
                  <c:v>118758</c:v>
                </c:pt>
                <c:pt idx="15" formatCode="General">
                  <c:v>118060</c:v>
                </c:pt>
                <c:pt idx="16">
                  <c:v>121275</c:v>
                </c:pt>
                <c:pt idx="17">
                  <c:v>121390</c:v>
                </c:pt>
                <c:pt idx="18">
                  <c:v>119575</c:v>
                </c:pt>
                <c:pt idx="19">
                  <c:v>120850</c:v>
                </c:pt>
                <c:pt idx="20">
                  <c:v>120630</c:v>
                </c:pt>
                <c:pt idx="21">
                  <c:v>119200</c:v>
                </c:pt>
                <c:pt idx="22">
                  <c:v>119180</c:v>
                </c:pt>
                <c:pt idx="23">
                  <c:v>117160</c:v>
                </c:pt>
                <c:pt idx="24">
                  <c:v>116855</c:v>
                </c:pt>
                <c:pt idx="25">
                  <c:v>118370</c:v>
                </c:pt>
                <c:pt idx="26">
                  <c:v>113830</c:v>
                </c:pt>
                <c:pt idx="27">
                  <c:v>117080</c:v>
                </c:pt>
                <c:pt idx="28">
                  <c:v>114680</c:v>
                </c:pt>
                <c:pt idx="29">
                  <c:v>116680</c:v>
                </c:pt>
                <c:pt idx="30">
                  <c:v>116900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A8E5-4EDC-9A69-891D5D5F57ED}"/>
            </c:ext>
          </c:extLst>
        </c:ser>
        <c:ser>
          <c:idx val="2"/>
          <c:order val="3"/>
          <c:tx>
            <c:strRef>
              <c:f>GrafAgosto!$F$1</c:f>
              <c:strCache>
                <c:ptCount val="1"/>
                <c:pt idx="0">
                  <c:v>AJUSTE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GrafAgosto!$A$2:$A$32</c:f>
              <c:numCache>
                <c:formatCode>m/d/yyyy</c:formatCode>
                <c:ptCount val="31"/>
                <c:pt idx="0">
                  <c:v>44410</c:v>
                </c:pt>
                <c:pt idx="1">
                  <c:v>44411</c:v>
                </c:pt>
                <c:pt idx="2">
                  <c:v>44412</c:v>
                </c:pt>
                <c:pt idx="3">
                  <c:v>44413</c:v>
                </c:pt>
                <c:pt idx="4">
                  <c:v>44414</c:v>
                </c:pt>
                <c:pt idx="5">
                  <c:v>44417</c:v>
                </c:pt>
                <c:pt idx="6">
                  <c:v>44418</c:v>
                </c:pt>
                <c:pt idx="7">
                  <c:v>44419</c:v>
                </c:pt>
                <c:pt idx="8">
                  <c:v>44420</c:v>
                </c:pt>
                <c:pt idx="9">
                  <c:v>44421</c:v>
                </c:pt>
                <c:pt idx="10">
                  <c:v>44424</c:v>
                </c:pt>
                <c:pt idx="11">
                  <c:v>44425</c:v>
                </c:pt>
                <c:pt idx="12">
                  <c:v>44426</c:v>
                </c:pt>
                <c:pt idx="13">
                  <c:v>44427</c:v>
                </c:pt>
                <c:pt idx="14">
                  <c:v>44428</c:v>
                </c:pt>
                <c:pt idx="15">
                  <c:v>44431</c:v>
                </c:pt>
                <c:pt idx="16">
                  <c:v>44432</c:v>
                </c:pt>
                <c:pt idx="17">
                  <c:v>44433</c:v>
                </c:pt>
                <c:pt idx="18">
                  <c:v>44434</c:v>
                </c:pt>
                <c:pt idx="19">
                  <c:v>44435</c:v>
                </c:pt>
                <c:pt idx="20">
                  <c:v>44438</c:v>
                </c:pt>
                <c:pt idx="21">
                  <c:v>44439</c:v>
                </c:pt>
                <c:pt idx="22">
                  <c:v>44440</c:v>
                </c:pt>
                <c:pt idx="23">
                  <c:v>44441</c:v>
                </c:pt>
                <c:pt idx="24">
                  <c:v>44442</c:v>
                </c:pt>
                <c:pt idx="25">
                  <c:v>44445</c:v>
                </c:pt>
                <c:pt idx="26">
                  <c:v>44447</c:v>
                </c:pt>
                <c:pt idx="27">
                  <c:v>44448</c:v>
                </c:pt>
                <c:pt idx="28">
                  <c:v>44449</c:v>
                </c:pt>
                <c:pt idx="29">
                  <c:v>44452</c:v>
                </c:pt>
                <c:pt idx="30">
                  <c:v>44453</c:v>
                </c:pt>
              </c:numCache>
            </c:numRef>
          </c:cat>
          <c:val>
            <c:numRef>
              <c:f>GrafAgosto!$F$2:$F$32</c:f>
              <c:numCache>
                <c:formatCode>General</c:formatCode>
                <c:ptCount val="31"/>
                <c:pt idx="0">
                  <c:v>122571</c:v>
                </c:pt>
                <c:pt idx="1">
                  <c:v>123656</c:v>
                </c:pt>
                <c:pt idx="2">
                  <c:v>121928</c:v>
                </c:pt>
                <c:pt idx="3">
                  <c:v>121740</c:v>
                </c:pt>
                <c:pt idx="4">
                  <c:v>123898</c:v>
                </c:pt>
                <c:pt idx="5">
                  <c:v>123016</c:v>
                </c:pt>
                <c:pt idx="6">
                  <c:v>122350</c:v>
                </c:pt>
                <c:pt idx="7">
                  <c:v>122100</c:v>
                </c:pt>
                <c:pt idx="8">
                  <c:v>120580</c:v>
                </c:pt>
                <c:pt idx="9">
                  <c:v>121200</c:v>
                </c:pt>
                <c:pt idx="10">
                  <c:v>119180</c:v>
                </c:pt>
                <c:pt idx="11">
                  <c:v>116900</c:v>
                </c:pt>
                <c:pt idx="12">
                  <c:v>117156</c:v>
                </c:pt>
                <c:pt idx="13">
                  <c:v>117958</c:v>
                </c:pt>
                <c:pt idx="14">
                  <c:v>118758</c:v>
                </c:pt>
                <c:pt idx="15">
                  <c:v>118116</c:v>
                </c:pt>
                <c:pt idx="16">
                  <c:v>120815</c:v>
                </c:pt>
                <c:pt idx="17">
                  <c:v>121450</c:v>
                </c:pt>
                <c:pt idx="18">
                  <c:v>119243</c:v>
                </c:pt>
                <c:pt idx="19">
                  <c:v>121345</c:v>
                </c:pt>
                <c:pt idx="20">
                  <c:v>120280</c:v>
                </c:pt>
                <c:pt idx="21">
                  <c:v>119000</c:v>
                </c:pt>
                <c:pt idx="22">
                  <c:v>119840</c:v>
                </c:pt>
                <c:pt idx="23" formatCode="0">
                  <c:v>117112</c:v>
                </c:pt>
                <c:pt idx="24" formatCode="0">
                  <c:v>117198</c:v>
                </c:pt>
                <c:pt idx="25" formatCode="0">
                  <c:v>118336</c:v>
                </c:pt>
                <c:pt idx="26" formatCode="0">
                  <c:v>113750</c:v>
                </c:pt>
                <c:pt idx="27" formatCode="0">
                  <c:v>115890</c:v>
                </c:pt>
                <c:pt idx="28" formatCode="0">
                  <c:v>114660</c:v>
                </c:pt>
                <c:pt idx="29" formatCode="0">
                  <c:v>116870</c:v>
                </c:pt>
                <c:pt idx="30" formatCode="0">
                  <c:v>116505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170-4B7F-9976-35568F66C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7957455"/>
        <c:axId val="1773296223"/>
      </c:lineChart>
      <c:dateAx>
        <c:axId val="70399083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03987919"/>
        <c:crosses val="autoZero"/>
        <c:auto val="1"/>
        <c:lblOffset val="100"/>
        <c:baseTimeUnit val="days"/>
      </c:dateAx>
      <c:valAx>
        <c:axId val="703987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03990831"/>
        <c:crosses val="autoZero"/>
        <c:crossBetween val="between"/>
      </c:valAx>
      <c:valAx>
        <c:axId val="1773296223"/>
        <c:scaling>
          <c:orientation val="minMax"/>
        </c:scaling>
        <c:delete val="0"/>
        <c:axPos val="r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7957455"/>
        <c:crosses val="max"/>
        <c:crossBetween val="between"/>
      </c:valAx>
      <c:dateAx>
        <c:axId val="1927957455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773296223"/>
        <c:crosses val="autoZero"/>
        <c:auto val="1"/>
        <c:lblOffset val="100"/>
        <c:baseTimeUnit val="day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Saldo das corretoras/BI estrangeiras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8045760624118865E-2"/>
          <c:y val="8.9265961561530383E-2"/>
          <c:w val="0.86633684906331498"/>
          <c:h val="0.82920545954602831"/>
        </c:manualLayout>
      </c:layout>
      <c:lineChart>
        <c:grouping val="standard"/>
        <c:varyColors val="0"/>
        <c:ser>
          <c:idx val="0"/>
          <c:order val="0"/>
          <c:tx>
            <c:strRef>
              <c:f>GrafSetembro!$C$1</c:f>
              <c:strCache>
                <c:ptCount val="1"/>
                <c:pt idx="0">
                  <c:v>SALDO WINFUT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GrafSetembro!$A$2:$A$14</c:f>
              <c:numCache>
                <c:formatCode>m/d/yyyy</c:formatCode>
                <c:ptCount val="13"/>
                <c:pt idx="0">
                  <c:v>44440</c:v>
                </c:pt>
                <c:pt idx="1">
                  <c:v>44441</c:v>
                </c:pt>
                <c:pt idx="2">
                  <c:v>44442</c:v>
                </c:pt>
                <c:pt idx="3">
                  <c:v>44445</c:v>
                </c:pt>
                <c:pt idx="4">
                  <c:v>44447</c:v>
                </c:pt>
                <c:pt idx="5">
                  <c:v>44448</c:v>
                </c:pt>
                <c:pt idx="6">
                  <c:v>44449</c:v>
                </c:pt>
                <c:pt idx="7">
                  <c:v>44452</c:v>
                </c:pt>
                <c:pt idx="8">
                  <c:v>44453</c:v>
                </c:pt>
                <c:pt idx="9">
                  <c:v>44454</c:v>
                </c:pt>
                <c:pt idx="10">
                  <c:v>44455</c:v>
                </c:pt>
                <c:pt idx="11">
                  <c:v>44456</c:v>
                </c:pt>
                <c:pt idx="12">
                  <c:v>44459</c:v>
                </c:pt>
              </c:numCache>
            </c:numRef>
          </c:cat>
          <c:val>
            <c:numRef>
              <c:f>GrafSetembro!$C$2:$C$14</c:f>
              <c:numCache>
                <c:formatCode>0</c:formatCode>
                <c:ptCount val="13"/>
                <c:pt idx="0">
                  <c:v>50088</c:v>
                </c:pt>
                <c:pt idx="1">
                  <c:v>-23138</c:v>
                </c:pt>
                <c:pt idx="2">
                  <c:v>26125</c:v>
                </c:pt>
                <c:pt idx="3">
                  <c:v>41071</c:v>
                </c:pt>
                <c:pt idx="4">
                  <c:v>-28343</c:v>
                </c:pt>
                <c:pt idx="5">
                  <c:v>10508</c:v>
                </c:pt>
                <c:pt idx="6">
                  <c:v>43286</c:v>
                </c:pt>
                <c:pt idx="7">
                  <c:v>64650</c:v>
                </c:pt>
                <c:pt idx="8">
                  <c:v>-36913</c:v>
                </c:pt>
                <c:pt idx="9">
                  <c:v>-12348</c:v>
                </c:pt>
                <c:pt idx="10" formatCode="0.00">
                  <c:v>15281</c:v>
                </c:pt>
                <c:pt idx="11" formatCode="0.00">
                  <c:v>-2452</c:v>
                </c:pt>
                <c:pt idx="12" formatCode="0.00">
                  <c:v>-56705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57-4A3B-B5ED-5087172E2C8C}"/>
            </c:ext>
          </c:extLst>
        </c:ser>
        <c:ser>
          <c:idx val="3"/>
          <c:order val="1"/>
          <c:tx>
            <c:strRef>
              <c:f>GrafSetembro!$D$1</c:f>
              <c:strCache>
                <c:ptCount val="1"/>
                <c:pt idx="0">
                  <c:v>SALDO INDFUT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GrafSetembro!$A$2:$A$14</c:f>
              <c:numCache>
                <c:formatCode>m/d/yyyy</c:formatCode>
                <c:ptCount val="13"/>
                <c:pt idx="0">
                  <c:v>44440</c:v>
                </c:pt>
                <c:pt idx="1">
                  <c:v>44441</c:v>
                </c:pt>
                <c:pt idx="2">
                  <c:v>44442</c:v>
                </c:pt>
                <c:pt idx="3">
                  <c:v>44445</c:v>
                </c:pt>
                <c:pt idx="4">
                  <c:v>44447</c:v>
                </c:pt>
                <c:pt idx="5">
                  <c:v>44448</c:v>
                </c:pt>
                <c:pt idx="6">
                  <c:v>44449</c:v>
                </c:pt>
                <c:pt idx="7">
                  <c:v>44452</c:v>
                </c:pt>
                <c:pt idx="8">
                  <c:v>44453</c:v>
                </c:pt>
                <c:pt idx="9">
                  <c:v>44454</c:v>
                </c:pt>
                <c:pt idx="10">
                  <c:v>44455</c:v>
                </c:pt>
                <c:pt idx="11">
                  <c:v>44456</c:v>
                </c:pt>
                <c:pt idx="12">
                  <c:v>44459</c:v>
                </c:pt>
              </c:numCache>
            </c:numRef>
          </c:cat>
          <c:val>
            <c:numRef>
              <c:f>GrafSetembro!$D$2:$D$14</c:f>
              <c:numCache>
                <c:formatCode>0</c:formatCode>
                <c:ptCount val="13"/>
                <c:pt idx="0">
                  <c:v>-3040</c:v>
                </c:pt>
                <c:pt idx="1">
                  <c:v>10010</c:v>
                </c:pt>
                <c:pt idx="2">
                  <c:v>-3515</c:v>
                </c:pt>
                <c:pt idx="3">
                  <c:v>2870</c:v>
                </c:pt>
                <c:pt idx="4">
                  <c:v>2175</c:v>
                </c:pt>
                <c:pt idx="5">
                  <c:v>-4340</c:v>
                </c:pt>
                <c:pt idx="6">
                  <c:v>-6195</c:v>
                </c:pt>
                <c:pt idx="7">
                  <c:v>-3155</c:v>
                </c:pt>
                <c:pt idx="8">
                  <c:v>1550</c:v>
                </c:pt>
                <c:pt idx="9">
                  <c:v>-5425</c:v>
                </c:pt>
                <c:pt idx="10" formatCode="0.00">
                  <c:v>95</c:v>
                </c:pt>
                <c:pt idx="11" formatCode="0.00">
                  <c:v>335</c:v>
                </c:pt>
                <c:pt idx="12" formatCode="0.00">
                  <c:v>4435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57-4A3B-B5ED-5087172E2C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3990831"/>
        <c:axId val="703987919"/>
      </c:lineChart>
      <c:lineChart>
        <c:grouping val="standard"/>
        <c:varyColors val="0"/>
        <c:ser>
          <c:idx val="1"/>
          <c:order val="2"/>
          <c:tx>
            <c:strRef>
              <c:f>GrafSetembro!$E$1</c:f>
              <c:strCache>
                <c:ptCount val="1"/>
                <c:pt idx="0">
                  <c:v>FECHAMENTO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GrafSetembro!$A$2:$A$14</c:f>
              <c:numCache>
                <c:formatCode>m/d/yyyy</c:formatCode>
                <c:ptCount val="13"/>
                <c:pt idx="0">
                  <c:v>44440</c:v>
                </c:pt>
                <c:pt idx="1">
                  <c:v>44441</c:v>
                </c:pt>
                <c:pt idx="2">
                  <c:v>44442</c:v>
                </c:pt>
                <c:pt idx="3">
                  <c:v>44445</c:v>
                </c:pt>
                <c:pt idx="4">
                  <c:v>44447</c:v>
                </c:pt>
                <c:pt idx="5">
                  <c:v>44448</c:v>
                </c:pt>
                <c:pt idx="6">
                  <c:v>44449</c:v>
                </c:pt>
                <c:pt idx="7">
                  <c:v>44452</c:v>
                </c:pt>
                <c:pt idx="8">
                  <c:v>44453</c:v>
                </c:pt>
                <c:pt idx="9">
                  <c:v>44454</c:v>
                </c:pt>
                <c:pt idx="10">
                  <c:v>44455</c:v>
                </c:pt>
                <c:pt idx="11">
                  <c:v>44456</c:v>
                </c:pt>
                <c:pt idx="12">
                  <c:v>44459</c:v>
                </c:pt>
              </c:numCache>
            </c:numRef>
          </c:cat>
          <c:val>
            <c:numRef>
              <c:f>GrafSetembro!$E$2:$E$14</c:f>
              <c:numCache>
                <c:formatCode>0</c:formatCode>
                <c:ptCount val="13"/>
                <c:pt idx="0">
                  <c:v>119180</c:v>
                </c:pt>
                <c:pt idx="1">
                  <c:v>117160</c:v>
                </c:pt>
                <c:pt idx="2">
                  <c:v>116855</c:v>
                </c:pt>
                <c:pt idx="3">
                  <c:v>118370</c:v>
                </c:pt>
                <c:pt idx="4">
                  <c:v>113830</c:v>
                </c:pt>
                <c:pt idx="5">
                  <c:v>117080</c:v>
                </c:pt>
                <c:pt idx="6">
                  <c:v>114680</c:v>
                </c:pt>
                <c:pt idx="7">
                  <c:v>116680</c:v>
                </c:pt>
                <c:pt idx="8">
                  <c:v>116900</c:v>
                </c:pt>
                <c:pt idx="9">
                  <c:v>115600</c:v>
                </c:pt>
                <c:pt idx="10" formatCode="0.00">
                  <c:v>114410</c:v>
                </c:pt>
                <c:pt idx="11" formatCode="0.00">
                  <c:v>111205</c:v>
                </c:pt>
                <c:pt idx="12" formatCode="0.00">
                  <c:v>109710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B57-4A3B-B5ED-5087172E2C8C}"/>
            </c:ext>
          </c:extLst>
        </c:ser>
        <c:ser>
          <c:idx val="2"/>
          <c:order val="3"/>
          <c:tx>
            <c:strRef>
              <c:f>GrafSetembro!$F$1</c:f>
              <c:strCache>
                <c:ptCount val="1"/>
                <c:pt idx="0">
                  <c:v>AJUSTE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GrafSetembro!$A$2:$A$14</c:f>
              <c:numCache>
                <c:formatCode>m/d/yyyy</c:formatCode>
                <c:ptCount val="13"/>
                <c:pt idx="0">
                  <c:v>44440</c:v>
                </c:pt>
                <c:pt idx="1">
                  <c:v>44441</c:v>
                </c:pt>
                <c:pt idx="2">
                  <c:v>44442</c:v>
                </c:pt>
                <c:pt idx="3">
                  <c:v>44445</c:v>
                </c:pt>
                <c:pt idx="4">
                  <c:v>44447</c:v>
                </c:pt>
                <c:pt idx="5">
                  <c:v>44448</c:v>
                </c:pt>
                <c:pt idx="6">
                  <c:v>44449</c:v>
                </c:pt>
                <c:pt idx="7">
                  <c:v>44452</c:v>
                </c:pt>
                <c:pt idx="8">
                  <c:v>44453</c:v>
                </c:pt>
                <c:pt idx="9">
                  <c:v>44454</c:v>
                </c:pt>
                <c:pt idx="10">
                  <c:v>44455</c:v>
                </c:pt>
                <c:pt idx="11">
                  <c:v>44456</c:v>
                </c:pt>
                <c:pt idx="12">
                  <c:v>44459</c:v>
                </c:pt>
              </c:numCache>
            </c:numRef>
          </c:cat>
          <c:val>
            <c:numRef>
              <c:f>GrafSetembro!$F$2:$F$14</c:f>
              <c:numCache>
                <c:formatCode>0</c:formatCode>
                <c:ptCount val="13"/>
                <c:pt idx="0" formatCode="General">
                  <c:v>119840</c:v>
                </c:pt>
                <c:pt idx="1">
                  <c:v>117112</c:v>
                </c:pt>
                <c:pt idx="2">
                  <c:v>117198</c:v>
                </c:pt>
                <c:pt idx="3">
                  <c:v>118336</c:v>
                </c:pt>
                <c:pt idx="4">
                  <c:v>113750</c:v>
                </c:pt>
                <c:pt idx="5">
                  <c:v>115890</c:v>
                </c:pt>
                <c:pt idx="6">
                  <c:v>114660</c:v>
                </c:pt>
                <c:pt idx="7">
                  <c:v>116870</c:v>
                </c:pt>
                <c:pt idx="8">
                  <c:v>116505</c:v>
                </c:pt>
                <c:pt idx="9">
                  <c:v>115528</c:v>
                </c:pt>
                <c:pt idx="10">
                  <c:v>114170</c:v>
                </c:pt>
                <c:pt idx="11" formatCode="0.00">
                  <c:v>111697</c:v>
                </c:pt>
                <c:pt idx="12">
                  <c:v>109090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B57-4A3B-B5ED-5087172E2C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7957455"/>
        <c:axId val="1773296223"/>
      </c:lineChart>
      <c:dateAx>
        <c:axId val="70399083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03987919"/>
        <c:crosses val="autoZero"/>
        <c:auto val="1"/>
        <c:lblOffset val="100"/>
        <c:baseTimeUnit val="days"/>
      </c:dateAx>
      <c:valAx>
        <c:axId val="703987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03990831"/>
        <c:crosses val="autoZero"/>
        <c:crossBetween val="between"/>
      </c:valAx>
      <c:valAx>
        <c:axId val="1773296223"/>
        <c:scaling>
          <c:orientation val="minMax"/>
          <c:max val="140000"/>
          <c:min val="90000"/>
        </c:scaling>
        <c:delete val="0"/>
        <c:axPos val="r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7957455"/>
        <c:crosses val="max"/>
        <c:crossBetween val="between"/>
        <c:majorUnit val="10000"/>
      </c:valAx>
      <c:dateAx>
        <c:axId val="1927957455"/>
        <c:scaling>
          <c:orientation val="minMax"/>
        </c:scaling>
        <c:delete val="1"/>
        <c:axPos val="t"/>
        <c:numFmt formatCode="m/d/yyyy" sourceLinked="1"/>
        <c:majorTickMark val="out"/>
        <c:minorTickMark val="none"/>
        <c:tickLblPos val="nextTo"/>
        <c:crossAx val="1773296223"/>
        <c:crosses val="max"/>
        <c:auto val="1"/>
        <c:lblOffset val="100"/>
        <c:baseTimeUnit val="day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488649</xdr:colOff>
      <xdr:row>2</xdr:row>
      <xdr:rowOff>70646</xdr:rowOff>
    </xdr:from>
    <xdr:to>
      <xdr:col>28</xdr:col>
      <xdr:colOff>437030</xdr:colOff>
      <xdr:row>30</xdr:row>
      <xdr:rowOff>13495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BC37ADF-5F12-49F6-87C1-73D15B1725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51618</xdr:colOff>
      <xdr:row>2</xdr:row>
      <xdr:rowOff>171500</xdr:rowOff>
    </xdr:from>
    <xdr:to>
      <xdr:col>27</xdr:col>
      <xdr:colOff>0</xdr:colOff>
      <xdr:row>30</xdr:row>
      <xdr:rowOff>114349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291A219-F49E-474C-AF3C-F88847398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2" xr16:uid="{2C4D3ED7-B003-4178-BA16-307320647DB3}" autoFormatId="16" applyNumberFormats="0" applyBorderFormats="0" applyFontFormats="0" applyPatternFormats="0" applyAlignmentFormats="0" applyWidthHeightFormats="0">
  <queryTableRefresh nextId="7">
    <queryTableFields count="6">
      <queryTableField id="1" name="Mercadoria" tableColumnId="1"/>
      <queryTableField id="2" name="Vencimento" tableColumnId="2"/>
      <queryTableField id="3" name="Preço de ajuste anterior" tableColumnId="3"/>
      <queryTableField id="4" name="Preço de ajuste Atual" tableColumnId="4"/>
      <queryTableField id="5" name="Variação" tableColumnId="5"/>
      <queryTableField id="6" name="Valor do ajuste por contrato (R$)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BBE1749-B19E-4869-A315-EEECDD0E5324}" name="Table_0__2" displayName="Table_0__2" ref="A1:F533" tableType="queryTable" totalsRowShown="0">
  <autoFilter ref="A1:F533" xr:uid="{1BBE1749-B19E-4869-A315-EEECDD0E5324}">
    <filterColumn colId="0">
      <filters>
        <filter val="IND - Ibovespa"/>
        <filter val="WIN - Ibovespa Mini"/>
      </filters>
    </filterColumn>
    <filterColumn colId="1">
      <filters>
        <filter val="V21"/>
      </filters>
    </filterColumn>
  </autoFilter>
  <tableColumns count="6">
    <tableColumn id="1" xr3:uid="{55F5ACE7-3623-4147-AEF1-5738ECDB03CB}" uniqueName="1" name="Mercadoria" queryTableFieldId="1" dataDxfId="1"/>
    <tableColumn id="2" xr3:uid="{553DB3C6-7DD2-49AD-9754-0E51F4C63D56}" uniqueName="2" name="Vencimento" queryTableFieldId="2" dataDxfId="0"/>
    <tableColumn id="3" xr3:uid="{FFE697BC-FA4D-440D-B236-74FE868FD696}" uniqueName="3" name="Preço de ajuste anterior" queryTableFieldId="3"/>
    <tableColumn id="4" xr3:uid="{E0E4FA95-EEB1-4631-8E0D-EE19499A1F24}" uniqueName="4" name="Preço de ajuste Atual" queryTableFieldId="4"/>
    <tableColumn id="5" xr3:uid="{AE190BC0-C3DC-463E-80B9-786A4EF9C4E3}" uniqueName="5" name="Variação" queryTableFieldId="5"/>
    <tableColumn id="6" xr3:uid="{C8794E97-1A1D-4432-8A77-368F98099CA8}" uniqueName="6" name="Valor do ajuste por contrato (R$)" queryTableFieldId="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FC2E5-D47E-4A51-B404-8DD50D96E379}">
  <sheetPr codeName="Planilha11"/>
  <dimension ref="A1:F533"/>
  <sheetViews>
    <sheetView workbookViewId="0">
      <selection activeCell="D549" sqref="D549"/>
    </sheetView>
  </sheetViews>
  <sheetFormatPr defaultRowHeight="15" x14ac:dyDescent="0.25"/>
  <cols>
    <col min="1" max="1" width="49.140625" bestFit="1" customWidth="1"/>
    <col min="2" max="2" width="14.140625" bestFit="1" customWidth="1"/>
    <col min="3" max="3" width="24.85546875" bestFit="1" customWidth="1"/>
    <col min="4" max="4" width="22.28515625" bestFit="1" customWidth="1"/>
    <col min="5" max="5" width="10.85546875" bestFit="1" customWidth="1"/>
    <col min="6" max="6" width="32.5703125" bestFit="1" customWidth="1"/>
  </cols>
  <sheetData>
    <row r="1" spans="1:6" x14ac:dyDescent="0.25">
      <c r="A1" t="s">
        <v>50</v>
      </c>
      <c r="B1" t="s">
        <v>51</v>
      </c>
      <c r="C1" t="s">
        <v>52</v>
      </c>
      <c r="D1" t="s">
        <v>53</v>
      </c>
      <c r="E1" t="s">
        <v>54</v>
      </c>
      <c r="F1" t="s">
        <v>55</v>
      </c>
    </row>
    <row r="2" spans="1:6" hidden="1" x14ac:dyDescent="0.25">
      <c r="A2" s="6" t="s">
        <v>56</v>
      </c>
      <c r="B2" s="6" t="s">
        <v>58</v>
      </c>
      <c r="C2">
        <v>14783.5</v>
      </c>
      <c r="D2">
        <v>14836.6</v>
      </c>
      <c r="E2">
        <v>53.1</v>
      </c>
      <c r="F2">
        <v>190.21</v>
      </c>
    </row>
    <row r="3" spans="1:6" hidden="1" x14ac:dyDescent="0.25">
      <c r="A3" s="6" t="s">
        <v>56</v>
      </c>
      <c r="B3" s="6" t="s">
        <v>59</v>
      </c>
      <c r="C3">
        <v>14852.6</v>
      </c>
      <c r="D3">
        <v>14899.3</v>
      </c>
      <c r="E3">
        <v>46.7</v>
      </c>
      <c r="F3">
        <v>167.28</v>
      </c>
    </row>
    <row r="4" spans="1:6" hidden="1" x14ac:dyDescent="0.25">
      <c r="A4" s="6" t="s">
        <v>56</v>
      </c>
      <c r="B4" s="6" t="s">
        <v>60</v>
      </c>
      <c r="C4">
        <v>14914.7</v>
      </c>
      <c r="D4">
        <v>14962.2</v>
      </c>
      <c r="E4">
        <v>47.5</v>
      </c>
      <c r="F4">
        <v>170.15</v>
      </c>
    </row>
    <row r="5" spans="1:6" hidden="1" x14ac:dyDescent="0.25">
      <c r="A5" s="6" t="s">
        <v>56</v>
      </c>
      <c r="B5" s="6" t="s">
        <v>61</v>
      </c>
      <c r="C5">
        <v>14982.7</v>
      </c>
      <c r="D5">
        <v>15036.3</v>
      </c>
      <c r="E5">
        <v>53.6</v>
      </c>
      <c r="F5">
        <v>192</v>
      </c>
    </row>
    <row r="6" spans="1:6" hidden="1" x14ac:dyDescent="0.25">
      <c r="A6" s="6" t="s">
        <v>56</v>
      </c>
      <c r="B6" s="6" t="s">
        <v>68</v>
      </c>
      <c r="C6">
        <v>15047.8</v>
      </c>
      <c r="D6">
        <v>15100.3</v>
      </c>
      <c r="E6">
        <v>52.5</v>
      </c>
      <c r="F6">
        <v>188.06</v>
      </c>
    </row>
    <row r="7" spans="1:6" hidden="1" x14ac:dyDescent="0.25">
      <c r="A7" s="6" t="s">
        <v>62</v>
      </c>
      <c r="B7" s="6" t="s">
        <v>58</v>
      </c>
      <c r="C7">
        <v>53.220999999999997</v>
      </c>
      <c r="D7">
        <v>54.031999999999996</v>
      </c>
      <c r="E7">
        <v>0.81100000000000005</v>
      </c>
      <c r="F7">
        <v>121.65</v>
      </c>
    </row>
    <row r="8" spans="1:6" hidden="1" x14ac:dyDescent="0.25">
      <c r="A8" s="6" t="s">
        <v>62</v>
      </c>
      <c r="B8" s="6" t="s">
        <v>59</v>
      </c>
      <c r="C8">
        <v>52.024999999999999</v>
      </c>
      <c r="D8">
        <v>52.924999999999997</v>
      </c>
      <c r="E8">
        <v>0.9</v>
      </c>
      <c r="F8">
        <v>135</v>
      </c>
    </row>
    <row r="9" spans="1:6" hidden="1" x14ac:dyDescent="0.25">
      <c r="A9" s="6" t="s">
        <v>62</v>
      </c>
      <c r="B9" s="6" t="s">
        <v>60</v>
      </c>
      <c r="C9">
        <v>50.765999999999998</v>
      </c>
      <c r="D9">
        <v>51.673000000000002</v>
      </c>
      <c r="E9">
        <v>0.90700000000000003</v>
      </c>
      <c r="F9">
        <v>136.05000000000001</v>
      </c>
    </row>
    <row r="10" spans="1:6" hidden="1" x14ac:dyDescent="0.25">
      <c r="A10" s="6" t="s">
        <v>62</v>
      </c>
      <c r="B10" s="6" t="s">
        <v>61</v>
      </c>
      <c r="C10">
        <v>48.854999999999997</v>
      </c>
      <c r="D10">
        <v>49.777000000000001</v>
      </c>
      <c r="E10">
        <v>0.92200000000000004</v>
      </c>
      <c r="F10">
        <v>138.30000000000001</v>
      </c>
    </row>
    <row r="11" spans="1:6" hidden="1" x14ac:dyDescent="0.25">
      <c r="A11" s="6" t="s">
        <v>62</v>
      </c>
      <c r="B11" s="6" t="s">
        <v>68</v>
      </c>
      <c r="C11">
        <v>46.802999999999997</v>
      </c>
      <c r="D11">
        <v>47.744</v>
      </c>
      <c r="E11">
        <v>0.94099999999999995</v>
      </c>
      <c r="F11">
        <v>141.15</v>
      </c>
    </row>
    <row r="12" spans="1:6" hidden="1" x14ac:dyDescent="0.25">
      <c r="A12" s="6" t="s">
        <v>63</v>
      </c>
      <c r="B12" s="6" t="s">
        <v>58</v>
      </c>
      <c r="C12">
        <v>99483</v>
      </c>
      <c r="D12">
        <v>99416.5</v>
      </c>
      <c r="E12">
        <v>-66.5</v>
      </c>
      <c r="F12">
        <v>35.729999999999997</v>
      </c>
    </row>
    <row r="13" spans="1:6" hidden="1" x14ac:dyDescent="0.25">
      <c r="A13" s="6" t="s">
        <v>63</v>
      </c>
      <c r="B13" s="6" t="s">
        <v>59</v>
      </c>
      <c r="C13">
        <v>102243.4</v>
      </c>
      <c r="D13">
        <v>101967.6</v>
      </c>
      <c r="E13">
        <v>-275.8</v>
      </c>
      <c r="F13">
        <v>148.19</v>
      </c>
    </row>
    <row r="14" spans="1:6" hidden="1" x14ac:dyDescent="0.25">
      <c r="A14" s="6" t="s">
        <v>63</v>
      </c>
      <c r="B14" s="6" t="s">
        <v>60</v>
      </c>
      <c r="C14">
        <v>105341</v>
      </c>
      <c r="D14">
        <v>104998.7</v>
      </c>
      <c r="E14">
        <v>-342.3</v>
      </c>
      <c r="F14">
        <v>183.92</v>
      </c>
    </row>
    <row r="15" spans="1:6" hidden="1" x14ac:dyDescent="0.25">
      <c r="A15" s="6" t="s">
        <v>63</v>
      </c>
      <c r="B15" s="6" t="s">
        <v>61</v>
      </c>
      <c r="C15">
        <v>110158.6</v>
      </c>
      <c r="D15">
        <v>109696</v>
      </c>
      <c r="E15">
        <v>-462.6</v>
      </c>
      <c r="F15">
        <v>248.56</v>
      </c>
    </row>
    <row r="16" spans="1:6" hidden="1" x14ac:dyDescent="0.25">
      <c r="A16" s="6" t="s">
        <v>63</v>
      </c>
      <c r="B16" s="6" t="s">
        <v>68</v>
      </c>
      <c r="C16">
        <v>115712.6</v>
      </c>
      <c r="D16">
        <v>115091.1</v>
      </c>
      <c r="E16">
        <v>-621.5</v>
      </c>
      <c r="F16">
        <v>333.94</v>
      </c>
    </row>
    <row r="17" spans="1:6" hidden="1" x14ac:dyDescent="0.25">
      <c r="A17" s="6" t="s">
        <v>64</v>
      </c>
      <c r="B17" s="6" t="s">
        <v>58</v>
      </c>
      <c r="C17">
        <v>3850.9989999999998</v>
      </c>
      <c r="D17">
        <v>3889.2750000000001</v>
      </c>
      <c r="E17">
        <v>38.276000000000003</v>
      </c>
      <c r="F17">
        <v>2296.56</v>
      </c>
    </row>
    <row r="18" spans="1:6" hidden="1" x14ac:dyDescent="0.25">
      <c r="A18" s="6" t="s">
        <v>64</v>
      </c>
      <c r="B18" s="6" t="s">
        <v>59</v>
      </c>
      <c r="C18">
        <v>3869.424</v>
      </c>
      <c r="D18">
        <v>3907.8679999999999</v>
      </c>
      <c r="E18">
        <v>38.444000000000003</v>
      </c>
      <c r="F18">
        <v>2306.64</v>
      </c>
    </row>
    <row r="19" spans="1:6" hidden="1" x14ac:dyDescent="0.25">
      <c r="A19" s="6" t="s">
        <v>64</v>
      </c>
      <c r="B19" s="6" t="s">
        <v>60</v>
      </c>
      <c r="C19">
        <v>3890.69</v>
      </c>
      <c r="D19">
        <v>3929.2550000000001</v>
      </c>
      <c r="E19">
        <v>38.564999999999998</v>
      </c>
      <c r="F19">
        <v>2313.9</v>
      </c>
    </row>
    <row r="20" spans="1:6" hidden="1" x14ac:dyDescent="0.25">
      <c r="A20" s="6" t="s">
        <v>64</v>
      </c>
      <c r="B20" s="6" t="s">
        <v>61</v>
      </c>
      <c r="C20">
        <v>3916.357</v>
      </c>
      <c r="D20">
        <v>3955.2959999999998</v>
      </c>
      <c r="E20">
        <v>38.939</v>
      </c>
      <c r="F20">
        <v>2336.34</v>
      </c>
    </row>
    <row r="21" spans="1:6" hidden="1" x14ac:dyDescent="0.25">
      <c r="A21" s="6" t="s">
        <v>64</v>
      </c>
      <c r="B21" s="6" t="s">
        <v>68</v>
      </c>
      <c r="C21">
        <v>3941.8040000000001</v>
      </c>
      <c r="D21">
        <v>3981.23</v>
      </c>
      <c r="E21">
        <v>39.426000000000002</v>
      </c>
      <c r="F21">
        <v>2365.56</v>
      </c>
    </row>
    <row r="22" spans="1:6" hidden="1" x14ac:dyDescent="0.25">
      <c r="A22" s="6" t="s">
        <v>65</v>
      </c>
      <c r="B22" s="6" t="s">
        <v>58</v>
      </c>
      <c r="C22">
        <v>727.35</v>
      </c>
      <c r="D22">
        <v>724.04</v>
      </c>
      <c r="E22">
        <v>-3.31</v>
      </c>
      <c r="F22">
        <v>177.34</v>
      </c>
    </row>
    <row r="23" spans="1:6" hidden="1" x14ac:dyDescent="0.25">
      <c r="A23" s="6" t="s">
        <v>65</v>
      </c>
      <c r="B23" s="6" t="s">
        <v>59</v>
      </c>
      <c r="C23">
        <v>727.44899999999996</v>
      </c>
      <c r="D23">
        <v>724.12699999999995</v>
      </c>
      <c r="E23">
        <v>-3.3220000000000001</v>
      </c>
      <c r="F23">
        <v>177.98</v>
      </c>
    </row>
    <row r="24" spans="1:6" hidden="1" x14ac:dyDescent="0.25">
      <c r="A24" s="6" t="s">
        <v>65</v>
      </c>
      <c r="B24" s="6" t="s">
        <v>60</v>
      </c>
      <c r="C24">
        <v>727.53700000000003</v>
      </c>
      <c r="D24">
        <v>724.21199999999999</v>
      </c>
      <c r="E24">
        <v>-3.3250000000000002</v>
      </c>
      <c r="F24">
        <v>178.14</v>
      </c>
    </row>
    <row r="25" spans="1:6" hidden="1" x14ac:dyDescent="0.25">
      <c r="A25" s="6" t="s">
        <v>65</v>
      </c>
      <c r="B25" s="6" t="s">
        <v>61</v>
      </c>
      <c r="C25">
        <v>727.70399999999995</v>
      </c>
      <c r="D25">
        <v>724.37400000000002</v>
      </c>
      <c r="E25">
        <v>-3.33</v>
      </c>
      <c r="F25">
        <v>178.41</v>
      </c>
    </row>
    <row r="26" spans="1:6" hidden="1" x14ac:dyDescent="0.25">
      <c r="A26" s="6" t="s">
        <v>65</v>
      </c>
      <c r="B26" s="6" t="s">
        <v>68</v>
      </c>
      <c r="C26">
        <v>727.84699999999998</v>
      </c>
      <c r="D26">
        <v>724.52499999999998</v>
      </c>
      <c r="E26">
        <v>-3.3220000000000001</v>
      </c>
      <c r="F26">
        <v>177.98</v>
      </c>
    </row>
    <row r="27" spans="1:6" hidden="1" x14ac:dyDescent="0.25">
      <c r="A27" s="6" t="s">
        <v>66</v>
      </c>
      <c r="B27" s="6" t="s">
        <v>58</v>
      </c>
      <c r="C27">
        <v>14.24</v>
      </c>
      <c r="D27">
        <v>13.74</v>
      </c>
      <c r="E27">
        <v>-0.5</v>
      </c>
      <c r="F27">
        <v>0.5</v>
      </c>
    </row>
    <row r="28" spans="1:6" hidden="1" x14ac:dyDescent="0.25">
      <c r="A28" s="6" t="s">
        <v>66</v>
      </c>
      <c r="B28" s="6" t="s">
        <v>59</v>
      </c>
      <c r="C28">
        <v>14.33</v>
      </c>
      <c r="D28">
        <v>13.82</v>
      </c>
      <c r="E28">
        <v>-0.51</v>
      </c>
      <c r="F28">
        <v>0.51</v>
      </c>
    </row>
    <row r="29" spans="1:6" hidden="1" x14ac:dyDescent="0.25">
      <c r="A29" s="6" t="s">
        <v>66</v>
      </c>
      <c r="B29" s="6" t="s">
        <v>60</v>
      </c>
      <c r="C29">
        <v>14.41</v>
      </c>
      <c r="D29">
        <v>13.9</v>
      </c>
      <c r="E29">
        <v>-0.51</v>
      </c>
      <c r="F29">
        <v>0.51</v>
      </c>
    </row>
    <row r="30" spans="1:6" hidden="1" x14ac:dyDescent="0.25">
      <c r="A30" s="6" t="s">
        <v>67</v>
      </c>
      <c r="B30" s="6" t="s">
        <v>57</v>
      </c>
      <c r="C30">
        <v>301.35000000000002</v>
      </c>
      <c r="D30">
        <v>302.5</v>
      </c>
      <c r="E30">
        <v>1.1499999999999999</v>
      </c>
      <c r="F30">
        <v>379.5</v>
      </c>
    </row>
    <row r="31" spans="1:6" hidden="1" x14ac:dyDescent="0.25">
      <c r="A31" s="6" t="s">
        <v>67</v>
      </c>
      <c r="B31" s="6" t="s">
        <v>58</v>
      </c>
      <c r="C31">
        <v>306.05</v>
      </c>
      <c r="D31">
        <v>307.85000000000002</v>
      </c>
      <c r="E31">
        <v>1.8</v>
      </c>
      <c r="F31">
        <v>594</v>
      </c>
    </row>
    <row r="32" spans="1:6" hidden="1" x14ac:dyDescent="0.25">
      <c r="A32" s="6" t="s">
        <v>67</v>
      </c>
      <c r="B32" s="6" t="s">
        <v>59</v>
      </c>
      <c r="C32">
        <v>315</v>
      </c>
      <c r="D32">
        <v>317.05</v>
      </c>
      <c r="E32">
        <v>2.0499999999999998</v>
      </c>
      <c r="F32">
        <v>676.5</v>
      </c>
    </row>
    <row r="33" spans="1:6" hidden="1" x14ac:dyDescent="0.25">
      <c r="A33" s="6" t="s">
        <v>67</v>
      </c>
      <c r="B33" s="6" t="s">
        <v>60</v>
      </c>
      <c r="C33">
        <v>319.05</v>
      </c>
      <c r="D33">
        <v>319.5</v>
      </c>
      <c r="E33">
        <v>0.45</v>
      </c>
      <c r="F33">
        <v>148.5</v>
      </c>
    </row>
    <row r="34" spans="1:6" hidden="1" x14ac:dyDescent="0.25">
      <c r="A34" s="6" t="s">
        <v>67</v>
      </c>
      <c r="B34" s="6" t="s">
        <v>61</v>
      </c>
      <c r="C34">
        <v>315</v>
      </c>
      <c r="D34">
        <v>315</v>
      </c>
      <c r="E34">
        <v>0</v>
      </c>
      <c r="F34">
        <v>0</v>
      </c>
    </row>
    <row r="35" spans="1:6" hidden="1" x14ac:dyDescent="0.25">
      <c r="A35" s="6" t="s">
        <v>67</v>
      </c>
      <c r="B35" s="6" t="s">
        <v>68</v>
      </c>
      <c r="C35">
        <v>332.8</v>
      </c>
      <c r="D35">
        <v>332.8</v>
      </c>
      <c r="E35">
        <v>0</v>
      </c>
      <c r="F35">
        <v>0</v>
      </c>
    </row>
    <row r="36" spans="1:6" hidden="1" x14ac:dyDescent="0.25">
      <c r="A36" s="6" t="s">
        <v>67</v>
      </c>
      <c r="B36" s="6" t="s">
        <v>69</v>
      </c>
      <c r="C36">
        <v>332.85</v>
      </c>
      <c r="D36">
        <v>332.85</v>
      </c>
      <c r="E36">
        <v>0</v>
      </c>
      <c r="F36">
        <v>0</v>
      </c>
    </row>
    <row r="37" spans="1:6" hidden="1" x14ac:dyDescent="0.25">
      <c r="A37" s="6" t="s">
        <v>67</v>
      </c>
      <c r="B37" s="6" t="s">
        <v>70</v>
      </c>
      <c r="C37">
        <v>330.85</v>
      </c>
      <c r="D37">
        <v>330.85</v>
      </c>
      <c r="E37">
        <v>0</v>
      </c>
      <c r="F37">
        <v>0</v>
      </c>
    </row>
    <row r="38" spans="1:6" hidden="1" x14ac:dyDescent="0.25">
      <c r="A38" s="6" t="s">
        <v>67</v>
      </c>
      <c r="B38" s="6" t="s">
        <v>71</v>
      </c>
      <c r="C38">
        <v>320.3</v>
      </c>
      <c r="D38">
        <v>320.3</v>
      </c>
      <c r="E38">
        <v>0</v>
      </c>
      <c r="F38">
        <v>0</v>
      </c>
    </row>
    <row r="39" spans="1:6" hidden="1" x14ac:dyDescent="0.25">
      <c r="A39" s="6" t="s">
        <v>67</v>
      </c>
      <c r="B39" s="6" t="s">
        <v>72</v>
      </c>
      <c r="C39">
        <v>329.15</v>
      </c>
      <c r="D39">
        <v>329.15</v>
      </c>
      <c r="E39">
        <v>0</v>
      </c>
      <c r="F39">
        <v>0</v>
      </c>
    </row>
    <row r="40" spans="1:6" hidden="1" x14ac:dyDescent="0.25">
      <c r="A40" s="6" t="s">
        <v>73</v>
      </c>
      <c r="B40" s="6" t="s">
        <v>58</v>
      </c>
      <c r="C40">
        <v>18388</v>
      </c>
      <c r="D40">
        <v>17925</v>
      </c>
      <c r="E40">
        <v>-463</v>
      </c>
      <c r="F40">
        <v>4630</v>
      </c>
    </row>
    <row r="41" spans="1:6" hidden="1" x14ac:dyDescent="0.25">
      <c r="A41" s="6" t="s">
        <v>73</v>
      </c>
      <c r="B41" s="6" t="s">
        <v>60</v>
      </c>
      <c r="C41">
        <v>18572</v>
      </c>
      <c r="D41">
        <v>18105</v>
      </c>
      <c r="E41">
        <v>-467</v>
      </c>
      <c r="F41">
        <v>4670</v>
      </c>
    </row>
    <row r="42" spans="1:6" hidden="1" x14ac:dyDescent="0.25">
      <c r="A42" s="6" t="s">
        <v>74</v>
      </c>
      <c r="B42" s="6" t="s">
        <v>58</v>
      </c>
      <c r="C42">
        <v>4154.1580000000004</v>
      </c>
      <c r="D42">
        <v>4187.6959999999999</v>
      </c>
      <c r="E42">
        <v>33.537999999999997</v>
      </c>
      <c r="F42">
        <v>2012.28</v>
      </c>
    </row>
    <row r="43" spans="1:6" hidden="1" x14ac:dyDescent="0.25">
      <c r="A43" s="6" t="s">
        <v>74</v>
      </c>
      <c r="B43" s="6" t="s">
        <v>59</v>
      </c>
      <c r="C43">
        <v>4173.26</v>
      </c>
      <c r="D43">
        <v>4207.0420000000004</v>
      </c>
      <c r="E43">
        <v>33.781999999999996</v>
      </c>
      <c r="F43">
        <v>2026.92</v>
      </c>
    </row>
    <row r="44" spans="1:6" hidden="1" x14ac:dyDescent="0.25">
      <c r="A44" s="6" t="s">
        <v>74</v>
      </c>
      <c r="B44" s="6" t="s">
        <v>60</v>
      </c>
      <c r="C44">
        <v>4195.5129999999999</v>
      </c>
      <c r="D44">
        <v>4229.4070000000002</v>
      </c>
      <c r="E44">
        <v>33.893999999999998</v>
      </c>
      <c r="F44">
        <v>2033.64</v>
      </c>
    </row>
    <row r="45" spans="1:6" hidden="1" x14ac:dyDescent="0.25">
      <c r="A45" s="6" t="s">
        <v>74</v>
      </c>
      <c r="B45" s="6" t="s">
        <v>61</v>
      </c>
      <c r="C45">
        <v>4222.5690000000004</v>
      </c>
      <c r="D45">
        <v>4256.808</v>
      </c>
      <c r="E45">
        <v>34.238999999999997</v>
      </c>
      <c r="F45">
        <v>2054.34</v>
      </c>
    </row>
    <row r="46" spans="1:6" hidden="1" x14ac:dyDescent="0.25">
      <c r="A46" s="6" t="s">
        <v>74</v>
      </c>
      <c r="B46" s="6" t="s">
        <v>68</v>
      </c>
      <c r="C46">
        <v>4249.3599999999997</v>
      </c>
      <c r="D46">
        <v>4284.0820000000003</v>
      </c>
      <c r="E46">
        <v>34.722000000000001</v>
      </c>
      <c r="F46">
        <v>2083.3200000000002</v>
      </c>
    </row>
    <row r="47" spans="1:6" hidden="1" x14ac:dyDescent="0.25">
      <c r="A47" s="6" t="s">
        <v>75</v>
      </c>
      <c r="B47" s="6" t="s">
        <v>58</v>
      </c>
      <c r="C47">
        <v>1274.521</v>
      </c>
      <c r="D47">
        <v>1282.7170000000001</v>
      </c>
      <c r="E47">
        <v>8.1959999999999997</v>
      </c>
      <c r="F47">
        <v>339.83</v>
      </c>
    </row>
    <row r="48" spans="1:6" hidden="1" x14ac:dyDescent="0.25">
      <c r="A48" s="6" t="s">
        <v>75</v>
      </c>
      <c r="B48" s="6" t="s">
        <v>59</v>
      </c>
      <c r="C48">
        <v>1274.5830000000001</v>
      </c>
      <c r="D48">
        <v>1282.769</v>
      </c>
      <c r="E48">
        <v>8.1859999999999999</v>
      </c>
      <c r="F48">
        <v>339.41</v>
      </c>
    </row>
    <row r="49" spans="1:6" hidden="1" x14ac:dyDescent="0.25">
      <c r="A49" s="6" t="s">
        <v>75</v>
      </c>
      <c r="B49" s="6" t="s">
        <v>60</v>
      </c>
      <c r="C49">
        <v>1274.6379999999999</v>
      </c>
      <c r="D49">
        <v>1282.817</v>
      </c>
      <c r="E49">
        <v>8.1790000000000003</v>
      </c>
      <c r="F49">
        <v>339.12</v>
      </c>
    </row>
    <row r="50" spans="1:6" hidden="1" x14ac:dyDescent="0.25">
      <c r="A50" s="6" t="s">
        <v>75</v>
      </c>
      <c r="B50" s="6" t="s">
        <v>61</v>
      </c>
      <c r="C50">
        <v>1274.5319999999999</v>
      </c>
      <c r="D50">
        <v>1282.722</v>
      </c>
      <c r="E50">
        <v>8.19</v>
      </c>
      <c r="F50">
        <v>339.58</v>
      </c>
    </row>
    <row r="51" spans="1:6" hidden="1" x14ac:dyDescent="0.25">
      <c r="A51" s="6" t="s">
        <v>75</v>
      </c>
      <c r="B51" s="6" t="s">
        <v>68</v>
      </c>
      <c r="C51">
        <v>1274.4749999999999</v>
      </c>
      <c r="D51">
        <v>1282.643</v>
      </c>
      <c r="E51">
        <v>8.1679999999999993</v>
      </c>
      <c r="F51">
        <v>338.67</v>
      </c>
    </row>
    <row r="52" spans="1:6" hidden="1" x14ac:dyDescent="0.25">
      <c r="A52" s="6" t="s">
        <v>76</v>
      </c>
      <c r="B52" s="6" t="s">
        <v>59</v>
      </c>
      <c r="C52">
        <v>93.25</v>
      </c>
      <c r="D52">
        <v>92.77</v>
      </c>
      <c r="E52">
        <v>-0.48</v>
      </c>
      <c r="F52">
        <v>216</v>
      </c>
    </row>
    <row r="53" spans="1:6" hidden="1" x14ac:dyDescent="0.25">
      <c r="A53" s="6" t="s">
        <v>76</v>
      </c>
      <c r="B53" s="6" t="s">
        <v>61</v>
      </c>
      <c r="C53">
        <v>94.53</v>
      </c>
      <c r="D53">
        <v>94.08</v>
      </c>
      <c r="E53">
        <v>-0.45</v>
      </c>
      <c r="F53">
        <v>202.5</v>
      </c>
    </row>
    <row r="54" spans="1:6" hidden="1" x14ac:dyDescent="0.25">
      <c r="A54" s="6" t="s">
        <v>76</v>
      </c>
      <c r="B54" s="6" t="s">
        <v>69</v>
      </c>
      <c r="C54">
        <v>94.47</v>
      </c>
      <c r="D54">
        <v>93.82</v>
      </c>
      <c r="E54">
        <v>-0.65</v>
      </c>
      <c r="F54">
        <v>292.5</v>
      </c>
    </row>
    <row r="55" spans="1:6" hidden="1" x14ac:dyDescent="0.25">
      <c r="A55" s="6" t="s">
        <v>76</v>
      </c>
      <c r="B55" s="6" t="s">
        <v>71</v>
      </c>
      <c r="C55">
        <v>88.83</v>
      </c>
      <c r="D55">
        <v>89.23</v>
      </c>
      <c r="E55">
        <v>0.4</v>
      </c>
      <c r="F55">
        <v>180</v>
      </c>
    </row>
    <row r="56" spans="1:6" hidden="1" x14ac:dyDescent="0.25">
      <c r="A56" s="6" t="s">
        <v>76</v>
      </c>
      <c r="B56" s="6" t="s">
        <v>77</v>
      </c>
      <c r="C56">
        <v>81.150000000000006</v>
      </c>
      <c r="D56">
        <v>81.02</v>
      </c>
      <c r="E56">
        <v>-0.13</v>
      </c>
      <c r="F56">
        <v>58.5</v>
      </c>
    </row>
    <row r="57" spans="1:6" hidden="1" x14ac:dyDescent="0.25">
      <c r="A57" s="6" t="s">
        <v>76</v>
      </c>
      <c r="B57" s="6" t="s">
        <v>78</v>
      </c>
      <c r="C57">
        <v>80.08</v>
      </c>
      <c r="D57">
        <v>79.95</v>
      </c>
      <c r="E57">
        <v>-0.13</v>
      </c>
      <c r="F57">
        <v>58.5</v>
      </c>
    </row>
    <row r="58" spans="1:6" hidden="1" x14ac:dyDescent="0.25">
      <c r="A58" s="6" t="s">
        <v>76</v>
      </c>
      <c r="B58" s="6" t="s">
        <v>79</v>
      </c>
      <c r="C58">
        <v>81.89</v>
      </c>
      <c r="D58">
        <v>81.760000000000005</v>
      </c>
      <c r="E58">
        <v>-0.13</v>
      </c>
      <c r="F58">
        <v>58.5</v>
      </c>
    </row>
    <row r="59" spans="1:6" hidden="1" x14ac:dyDescent="0.25">
      <c r="A59" s="6" t="s">
        <v>76</v>
      </c>
      <c r="B59" s="6" t="s">
        <v>183</v>
      </c>
      <c r="C59">
        <v>76.5</v>
      </c>
      <c r="D59">
        <v>76.5</v>
      </c>
      <c r="E59">
        <v>0</v>
      </c>
      <c r="F59">
        <v>0</v>
      </c>
    </row>
    <row r="60" spans="1:6" hidden="1" x14ac:dyDescent="0.25">
      <c r="A60" s="6" t="s">
        <v>80</v>
      </c>
      <c r="B60" s="6" t="s">
        <v>58</v>
      </c>
      <c r="C60">
        <v>11.53</v>
      </c>
      <c r="D60">
        <v>11.48</v>
      </c>
      <c r="E60">
        <v>-0.05</v>
      </c>
      <c r="F60">
        <v>0.05</v>
      </c>
    </row>
    <row r="61" spans="1:6" hidden="1" x14ac:dyDescent="0.25">
      <c r="A61" s="6" t="s">
        <v>80</v>
      </c>
      <c r="B61" s="6" t="s">
        <v>59</v>
      </c>
      <c r="C61">
        <v>11.6</v>
      </c>
      <c r="D61">
        <v>11.55</v>
      </c>
      <c r="E61">
        <v>-0.05</v>
      </c>
      <c r="F61">
        <v>0.05</v>
      </c>
    </row>
    <row r="62" spans="1:6" hidden="1" x14ac:dyDescent="0.25">
      <c r="A62" s="6" t="s">
        <v>80</v>
      </c>
      <c r="B62" s="6" t="s">
        <v>60</v>
      </c>
      <c r="C62">
        <v>11.66</v>
      </c>
      <c r="D62">
        <v>11.61</v>
      </c>
      <c r="E62">
        <v>-0.05</v>
      </c>
      <c r="F62">
        <v>0.05</v>
      </c>
    </row>
    <row r="63" spans="1:6" hidden="1" x14ac:dyDescent="0.25">
      <c r="A63" s="6" t="s">
        <v>81</v>
      </c>
      <c r="B63" s="6" t="s">
        <v>58</v>
      </c>
      <c r="C63">
        <v>5680.8590000000004</v>
      </c>
      <c r="D63">
        <v>5790.8879999999999</v>
      </c>
      <c r="E63">
        <v>110.029</v>
      </c>
      <c r="F63">
        <v>5501.45</v>
      </c>
    </row>
    <row r="64" spans="1:6" hidden="1" x14ac:dyDescent="0.25">
      <c r="A64" s="6" t="s">
        <v>81</v>
      </c>
      <c r="B64" s="6" t="s">
        <v>59</v>
      </c>
      <c r="C64">
        <v>5712.1620000000003</v>
      </c>
      <c r="D64">
        <v>5822.2719999999999</v>
      </c>
      <c r="E64">
        <v>110.11</v>
      </c>
      <c r="F64">
        <v>5505.5</v>
      </c>
    </row>
    <row r="65" spans="1:6" hidden="1" x14ac:dyDescent="0.25">
      <c r="A65" s="6" t="s">
        <v>81</v>
      </c>
      <c r="B65" s="6" t="s">
        <v>60</v>
      </c>
      <c r="C65">
        <v>5747.19</v>
      </c>
      <c r="D65">
        <v>5857.866</v>
      </c>
      <c r="E65">
        <v>110.676</v>
      </c>
      <c r="F65">
        <v>5533.8</v>
      </c>
    </row>
    <row r="66" spans="1:6" hidden="1" x14ac:dyDescent="0.25">
      <c r="A66" s="6" t="s">
        <v>81</v>
      </c>
      <c r="B66" s="6" t="s">
        <v>61</v>
      </c>
      <c r="C66">
        <v>5789.3720000000003</v>
      </c>
      <c r="D66">
        <v>5901.1120000000001</v>
      </c>
      <c r="E66">
        <v>111.74</v>
      </c>
      <c r="F66">
        <v>5587</v>
      </c>
    </row>
    <row r="67" spans="1:6" hidden="1" x14ac:dyDescent="0.25">
      <c r="A67" s="6" t="s">
        <v>81</v>
      </c>
      <c r="B67" s="6" t="s">
        <v>68</v>
      </c>
      <c r="C67">
        <v>5831.4880000000003</v>
      </c>
      <c r="D67">
        <v>5944.3419999999996</v>
      </c>
      <c r="E67">
        <v>112.854</v>
      </c>
      <c r="F67">
        <v>5642.7</v>
      </c>
    </row>
    <row r="68" spans="1:6" hidden="1" x14ac:dyDescent="0.25">
      <c r="A68" s="6" t="s">
        <v>82</v>
      </c>
      <c r="B68" s="6" t="s">
        <v>58</v>
      </c>
      <c r="C68">
        <v>785010</v>
      </c>
      <c r="D68">
        <v>788888</v>
      </c>
      <c r="E68">
        <v>3878</v>
      </c>
      <c r="F68">
        <v>261.24</v>
      </c>
    </row>
    <row r="69" spans="1:6" hidden="1" x14ac:dyDescent="0.25">
      <c r="A69" s="6" t="s">
        <v>82</v>
      </c>
      <c r="B69" s="6" t="s">
        <v>59</v>
      </c>
      <c r="C69">
        <v>786822.7</v>
      </c>
      <c r="D69">
        <v>790433.7</v>
      </c>
      <c r="E69">
        <v>3611</v>
      </c>
      <c r="F69">
        <v>243.25</v>
      </c>
    </row>
    <row r="70" spans="1:6" hidden="1" x14ac:dyDescent="0.25">
      <c r="A70" s="6" t="s">
        <v>82</v>
      </c>
      <c r="B70" s="6" t="s">
        <v>60</v>
      </c>
      <c r="C70">
        <v>788354.6</v>
      </c>
      <c r="D70">
        <v>791979.6</v>
      </c>
      <c r="E70">
        <v>3625</v>
      </c>
      <c r="F70">
        <v>244.2</v>
      </c>
    </row>
    <row r="71" spans="1:6" hidden="1" x14ac:dyDescent="0.25">
      <c r="A71" s="6" t="s">
        <v>82</v>
      </c>
      <c r="B71" s="6" t="s">
        <v>61</v>
      </c>
      <c r="C71">
        <v>790200.3</v>
      </c>
      <c r="D71">
        <v>793767.2</v>
      </c>
      <c r="E71">
        <v>3566.9</v>
      </c>
      <c r="F71">
        <v>240.28</v>
      </c>
    </row>
    <row r="72" spans="1:6" hidden="1" x14ac:dyDescent="0.25">
      <c r="A72" s="6" t="s">
        <v>82</v>
      </c>
      <c r="B72" s="6" t="s">
        <v>68</v>
      </c>
      <c r="C72">
        <v>791934.6</v>
      </c>
      <c r="D72">
        <v>795385</v>
      </c>
      <c r="E72">
        <v>3450.4</v>
      </c>
      <c r="F72">
        <v>232.43</v>
      </c>
    </row>
    <row r="73" spans="1:6" hidden="1" x14ac:dyDescent="0.25">
      <c r="A73" s="6" t="s">
        <v>83</v>
      </c>
      <c r="B73" s="6" t="s">
        <v>58</v>
      </c>
      <c r="C73">
        <v>2.4700000000000002</v>
      </c>
      <c r="D73">
        <v>2.34</v>
      </c>
      <c r="E73">
        <v>-0.13</v>
      </c>
      <c r="F73">
        <v>0.13</v>
      </c>
    </row>
    <row r="74" spans="1:6" hidden="1" x14ac:dyDescent="0.25">
      <c r="A74" s="6" t="s">
        <v>83</v>
      </c>
      <c r="B74" s="6" t="s">
        <v>59</v>
      </c>
      <c r="C74">
        <v>2.4900000000000002</v>
      </c>
      <c r="D74">
        <v>2.35</v>
      </c>
      <c r="E74">
        <v>-0.14000000000000001</v>
      </c>
      <c r="F74">
        <v>0.14000000000000001</v>
      </c>
    </row>
    <row r="75" spans="1:6" hidden="1" x14ac:dyDescent="0.25">
      <c r="A75" s="6" t="s">
        <v>83</v>
      </c>
      <c r="B75" s="6" t="s">
        <v>60</v>
      </c>
      <c r="C75">
        <v>2.5</v>
      </c>
      <c r="D75">
        <v>2.37</v>
      </c>
      <c r="E75">
        <v>-0.13</v>
      </c>
      <c r="F75">
        <v>0.13</v>
      </c>
    </row>
    <row r="76" spans="1:6" hidden="1" x14ac:dyDescent="0.25">
      <c r="A76" s="6" t="s">
        <v>84</v>
      </c>
      <c r="B76" s="6" t="s">
        <v>58</v>
      </c>
      <c r="C76">
        <v>6744.5</v>
      </c>
      <c r="D76">
        <v>6809.1</v>
      </c>
      <c r="E76">
        <v>64.599999999999994</v>
      </c>
      <c r="F76">
        <v>1615</v>
      </c>
    </row>
    <row r="77" spans="1:6" hidden="1" x14ac:dyDescent="0.25">
      <c r="A77" s="6" t="s">
        <v>84</v>
      </c>
      <c r="B77" s="6" t="s">
        <v>59</v>
      </c>
      <c r="C77">
        <v>6760.3</v>
      </c>
      <c r="D77">
        <v>6827.4</v>
      </c>
      <c r="E77">
        <v>67.099999999999994</v>
      </c>
      <c r="F77">
        <v>1677.5</v>
      </c>
    </row>
    <row r="78" spans="1:6" hidden="1" x14ac:dyDescent="0.25">
      <c r="A78" s="6" t="s">
        <v>84</v>
      </c>
      <c r="B78" s="6" t="s">
        <v>60</v>
      </c>
      <c r="C78">
        <v>6783.4</v>
      </c>
      <c r="D78">
        <v>6850.6</v>
      </c>
      <c r="E78">
        <v>67.2</v>
      </c>
      <c r="F78">
        <v>1680</v>
      </c>
    </row>
    <row r="79" spans="1:6" hidden="1" x14ac:dyDescent="0.25">
      <c r="A79" s="6" t="s">
        <v>84</v>
      </c>
      <c r="B79" s="6" t="s">
        <v>61</v>
      </c>
      <c r="C79">
        <v>6810.6</v>
      </c>
      <c r="D79">
        <v>6878.9</v>
      </c>
      <c r="E79">
        <v>68.3</v>
      </c>
      <c r="F79">
        <v>1707.5</v>
      </c>
    </row>
    <row r="80" spans="1:6" hidden="1" x14ac:dyDescent="0.25">
      <c r="A80" s="6" t="s">
        <v>84</v>
      </c>
      <c r="B80" s="6" t="s">
        <v>68</v>
      </c>
      <c r="C80">
        <v>6838.5</v>
      </c>
      <c r="D80">
        <v>6908.5</v>
      </c>
      <c r="E80">
        <v>70</v>
      </c>
      <c r="F80">
        <v>1750</v>
      </c>
    </row>
    <row r="81" spans="1:6" hidden="1" x14ac:dyDescent="0.25">
      <c r="A81" s="6" t="s">
        <v>85</v>
      </c>
      <c r="B81" s="6" t="s">
        <v>58</v>
      </c>
      <c r="C81">
        <v>13.81</v>
      </c>
      <c r="D81">
        <v>13.79</v>
      </c>
      <c r="E81">
        <v>-0.02</v>
      </c>
      <c r="F81">
        <v>0.02</v>
      </c>
    </row>
    <row r="82" spans="1:6" hidden="1" x14ac:dyDescent="0.25">
      <c r="A82" s="6" t="s">
        <v>85</v>
      </c>
      <c r="B82" s="6" t="s">
        <v>59</v>
      </c>
      <c r="C82">
        <v>13.89</v>
      </c>
      <c r="D82">
        <v>13.86</v>
      </c>
      <c r="E82">
        <v>-0.03</v>
      </c>
      <c r="F82">
        <v>0.03</v>
      </c>
    </row>
    <row r="83" spans="1:6" hidden="1" x14ac:dyDescent="0.25">
      <c r="A83" s="6" t="s">
        <v>85</v>
      </c>
      <c r="B83" s="6" t="s">
        <v>60</v>
      </c>
      <c r="C83">
        <v>13.97</v>
      </c>
      <c r="D83">
        <v>13.94</v>
      </c>
      <c r="E83">
        <v>-0.03</v>
      </c>
      <c r="F83">
        <v>0.03</v>
      </c>
    </row>
    <row r="84" spans="1:6" hidden="1" x14ac:dyDescent="0.25">
      <c r="A84" s="6" t="s">
        <v>86</v>
      </c>
      <c r="B84" s="6" t="s">
        <v>58</v>
      </c>
      <c r="C84">
        <v>6480.125</v>
      </c>
      <c r="D84">
        <v>6496.1809999999996</v>
      </c>
      <c r="E84">
        <v>16.056000000000001</v>
      </c>
      <c r="F84">
        <v>131.13999999999999</v>
      </c>
    </row>
    <row r="85" spans="1:6" hidden="1" x14ac:dyDescent="0.25">
      <c r="A85" s="6" t="s">
        <v>86</v>
      </c>
      <c r="B85" s="6" t="s">
        <v>59</v>
      </c>
      <c r="C85">
        <v>6496.4030000000002</v>
      </c>
      <c r="D85">
        <v>6510.6360000000004</v>
      </c>
      <c r="E85">
        <v>14.233000000000001</v>
      </c>
      <c r="F85">
        <v>116.25</v>
      </c>
    </row>
    <row r="86" spans="1:6" hidden="1" x14ac:dyDescent="0.25">
      <c r="A86" s="6" t="s">
        <v>86</v>
      </c>
      <c r="B86" s="6" t="s">
        <v>60</v>
      </c>
      <c r="C86">
        <v>6511.0230000000001</v>
      </c>
      <c r="D86">
        <v>6525.4170000000004</v>
      </c>
      <c r="E86">
        <v>14.394</v>
      </c>
      <c r="F86">
        <v>117.57</v>
      </c>
    </row>
    <row r="87" spans="1:6" hidden="1" x14ac:dyDescent="0.25">
      <c r="A87" s="6" t="s">
        <v>86</v>
      </c>
      <c r="B87" s="6" t="s">
        <v>61</v>
      </c>
      <c r="C87">
        <v>6527.01</v>
      </c>
      <c r="D87">
        <v>6542.2979999999998</v>
      </c>
      <c r="E87">
        <v>15.288</v>
      </c>
      <c r="F87">
        <v>124.87</v>
      </c>
    </row>
    <row r="88" spans="1:6" hidden="1" x14ac:dyDescent="0.25">
      <c r="A88" s="6" t="s">
        <v>86</v>
      </c>
      <c r="B88" s="6" t="s">
        <v>68</v>
      </c>
      <c r="C88">
        <v>6542.8530000000001</v>
      </c>
      <c r="D88">
        <v>6557.8919999999998</v>
      </c>
      <c r="E88">
        <v>15.039</v>
      </c>
      <c r="F88">
        <v>122.83</v>
      </c>
    </row>
    <row r="89" spans="1:6" hidden="1" x14ac:dyDescent="0.25">
      <c r="A89" s="6" t="s">
        <v>87</v>
      </c>
      <c r="B89" s="6" t="s">
        <v>58</v>
      </c>
      <c r="C89">
        <v>8170.0519999999997</v>
      </c>
      <c r="D89">
        <v>8273.2330000000002</v>
      </c>
      <c r="E89">
        <v>103.181</v>
      </c>
      <c r="F89">
        <v>3611.33</v>
      </c>
    </row>
    <row r="90" spans="1:6" hidden="1" x14ac:dyDescent="0.25">
      <c r="A90" s="6" t="s">
        <v>87</v>
      </c>
      <c r="B90" s="6" t="s">
        <v>59</v>
      </c>
      <c r="C90">
        <v>8184.69</v>
      </c>
      <c r="D90">
        <v>8287.4950000000008</v>
      </c>
      <c r="E90">
        <v>102.80500000000001</v>
      </c>
      <c r="F90">
        <v>3598.17</v>
      </c>
    </row>
    <row r="91" spans="1:6" hidden="1" x14ac:dyDescent="0.25">
      <c r="A91" s="6" t="s">
        <v>87</v>
      </c>
      <c r="B91" s="6" t="s">
        <v>60</v>
      </c>
      <c r="C91">
        <v>8209.0789999999997</v>
      </c>
      <c r="D91">
        <v>8312.5210000000006</v>
      </c>
      <c r="E91">
        <v>103.44199999999999</v>
      </c>
      <c r="F91">
        <v>3620.47</v>
      </c>
    </row>
    <row r="92" spans="1:6" hidden="1" x14ac:dyDescent="0.25">
      <c r="A92" s="6" t="s">
        <v>87</v>
      </c>
      <c r="B92" s="6" t="s">
        <v>61</v>
      </c>
      <c r="C92">
        <v>8239.634</v>
      </c>
      <c r="D92">
        <v>8344.5540000000001</v>
      </c>
      <c r="E92">
        <v>104.92</v>
      </c>
      <c r="F92">
        <v>3672.2</v>
      </c>
    </row>
    <row r="93" spans="1:6" hidden="1" x14ac:dyDescent="0.25">
      <c r="A93" s="6" t="s">
        <v>87</v>
      </c>
      <c r="B93" s="6" t="s">
        <v>68</v>
      </c>
      <c r="C93">
        <v>8270.8870000000006</v>
      </c>
      <c r="D93">
        <v>8376.3719999999994</v>
      </c>
      <c r="E93">
        <v>105.485</v>
      </c>
      <c r="F93">
        <v>3691.97</v>
      </c>
    </row>
    <row r="94" spans="1:6" hidden="1" x14ac:dyDescent="0.25">
      <c r="A94" s="6" t="s">
        <v>88</v>
      </c>
      <c r="B94" s="6" t="s">
        <v>58</v>
      </c>
      <c r="C94">
        <v>100400.32000000001</v>
      </c>
      <c r="D94">
        <v>100389.73</v>
      </c>
      <c r="E94">
        <v>-10.59</v>
      </c>
      <c r="F94">
        <v>15.57</v>
      </c>
    </row>
    <row r="95" spans="1:6" hidden="1" x14ac:dyDescent="0.25">
      <c r="A95" s="6" t="s">
        <v>88</v>
      </c>
      <c r="B95" s="6" t="s">
        <v>59</v>
      </c>
      <c r="C95">
        <v>100464.64</v>
      </c>
      <c r="D95">
        <v>100496.33</v>
      </c>
      <c r="E95">
        <v>31.69</v>
      </c>
      <c r="F95">
        <v>46.61</v>
      </c>
    </row>
    <row r="96" spans="1:6" hidden="1" x14ac:dyDescent="0.25">
      <c r="A96" s="6" t="s">
        <v>88</v>
      </c>
      <c r="B96" s="6" t="s">
        <v>60</v>
      </c>
      <c r="C96">
        <v>100464.82</v>
      </c>
      <c r="D96">
        <v>100490.93</v>
      </c>
      <c r="E96">
        <v>26.11</v>
      </c>
      <c r="F96">
        <v>38.4</v>
      </c>
    </row>
    <row r="97" spans="1:6" hidden="1" x14ac:dyDescent="0.25">
      <c r="A97" s="6" t="s">
        <v>88</v>
      </c>
      <c r="B97" s="6" t="s">
        <v>61</v>
      </c>
      <c r="C97">
        <v>100505.53</v>
      </c>
      <c r="D97">
        <v>100542.85</v>
      </c>
      <c r="E97">
        <v>37.32</v>
      </c>
      <c r="F97">
        <v>54.9</v>
      </c>
    </row>
    <row r="98" spans="1:6" hidden="1" x14ac:dyDescent="0.25">
      <c r="A98" s="6" t="s">
        <v>88</v>
      </c>
      <c r="B98" s="6" t="s">
        <v>89</v>
      </c>
      <c r="C98">
        <v>98058.62</v>
      </c>
      <c r="D98">
        <v>98058.83</v>
      </c>
      <c r="E98">
        <v>0.21</v>
      </c>
      <c r="F98">
        <v>0.3</v>
      </c>
    </row>
    <row r="99" spans="1:6" hidden="1" x14ac:dyDescent="0.25">
      <c r="A99" s="6" t="s">
        <v>88</v>
      </c>
      <c r="B99" s="6" t="s">
        <v>90</v>
      </c>
      <c r="C99">
        <v>96107.34</v>
      </c>
      <c r="D99">
        <v>96144.65</v>
      </c>
      <c r="E99">
        <v>37.31</v>
      </c>
      <c r="F99">
        <v>54.88</v>
      </c>
    </row>
    <row r="100" spans="1:6" hidden="1" x14ac:dyDescent="0.25">
      <c r="A100" s="6" t="s">
        <v>88</v>
      </c>
      <c r="B100" s="6" t="s">
        <v>91</v>
      </c>
      <c r="C100">
        <v>94765.21</v>
      </c>
      <c r="D100">
        <v>94772.96</v>
      </c>
      <c r="E100">
        <v>7.75</v>
      </c>
      <c r="F100">
        <v>11.4</v>
      </c>
    </row>
    <row r="101" spans="1:6" hidden="1" x14ac:dyDescent="0.25">
      <c r="A101" s="6" t="s">
        <v>88</v>
      </c>
      <c r="B101" s="6" t="s">
        <v>92</v>
      </c>
      <c r="C101">
        <v>89211.17</v>
      </c>
      <c r="D101">
        <v>89274</v>
      </c>
      <c r="E101">
        <v>62.83</v>
      </c>
      <c r="F101">
        <v>92.42</v>
      </c>
    </row>
    <row r="102" spans="1:6" hidden="1" x14ac:dyDescent="0.25">
      <c r="A102" s="6" t="s">
        <v>88</v>
      </c>
      <c r="B102" s="6" t="s">
        <v>93</v>
      </c>
      <c r="C102">
        <v>86162.68</v>
      </c>
      <c r="D102">
        <v>86260.1</v>
      </c>
      <c r="E102">
        <v>97.42</v>
      </c>
      <c r="F102">
        <v>143.31</v>
      </c>
    </row>
    <row r="103" spans="1:6" hidden="1" x14ac:dyDescent="0.25">
      <c r="A103" s="6" t="s">
        <v>88</v>
      </c>
      <c r="B103" s="6" t="s">
        <v>94</v>
      </c>
      <c r="C103">
        <v>81411.039999999994</v>
      </c>
      <c r="D103">
        <v>81446.559999999998</v>
      </c>
      <c r="E103">
        <v>35.520000000000003</v>
      </c>
      <c r="F103">
        <v>52.25</v>
      </c>
    </row>
    <row r="104" spans="1:6" hidden="1" x14ac:dyDescent="0.25">
      <c r="A104" s="6" t="s">
        <v>88</v>
      </c>
      <c r="B104" s="6" t="s">
        <v>95</v>
      </c>
      <c r="C104">
        <v>74409.83</v>
      </c>
      <c r="D104">
        <v>74393.5</v>
      </c>
      <c r="E104">
        <v>-16.329999999999998</v>
      </c>
      <c r="F104">
        <v>24.02</v>
      </c>
    </row>
    <row r="105" spans="1:6" hidden="1" x14ac:dyDescent="0.25">
      <c r="A105" s="6" t="s">
        <v>88</v>
      </c>
      <c r="B105" s="6" t="s">
        <v>96</v>
      </c>
      <c r="C105">
        <v>68052.77</v>
      </c>
      <c r="D105">
        <v>68025.05</v>
      </c>
      <c r="E105">
        <v>-27.72</v>
      </c>
      <c r="F105">
        <v>40.770000000000003</v>
      </c>
    </row>
    <row r="106" spans="1:6" hidden="1" x14ac:dyDescent="0.25">
      <c r="A106" s="6" t="s">
        <v>88</v>
      </c>
      <c r="B106" s="6" t="s">
        <v>97</v>
      </c>
      <c r="C106">
        <v>55355.24</v>
      </c>
      <c r="D106">
        <v>55379.72</v>
      </c>
      <c r="E106">
        <v>24.48</v>
      </c>
      <c r="F106">
        <v>36.01</v>
      </c>
    </row>
    <row r="107" spans="1:6" hidden="1" x14ac:dyDescent="0.25">
      <c r="A107" s="6" t="s">
        <v>88</v>
      </c>
      <c r="B107" s="6" t="s">
        <v>98</v>
      </c>
      <c r="C107">
        <v>43130.080000000002</v>
      </c>
      <c r="D107">
        <v>43149.35</v>
      </c>
      <c r="E107">
        <v>19.27</v>
      </c>
      <c r="F107">
        <v>28.34</v>
      </c>
    </row>
    <row r="108" spans="1:6" hidden="1" x14ac:dyDescent="0.25">
      <c r="A108" s="6" t="s">
        <v>88</v>
      </c>
      <c r="B108" s="6" t="s">
        <v>99</v>
      </c>
      <c r="C108">
        <v>31712.31</v>
      </c>
      <c r="D108">
        <v>31727</v>
      </c>
      <c r="E108">
        <v>14.69</v>
      </c>
      <c r="F108">
        <v>21.61</v>
      </c>
    </row>
    <row r="109" spans="1:6" hidden="1" x14ac:dyDescent="0.25">
      <c r="A109" s="6" t="s">
        <v>88</v>
      </c>
      <c r="B109" s="6" t="s">
        <v>100</v>
      </c>
      <c r="C109">
        <v>24577.45</v>
      </c>
      <c r="D109">
        <v>24588.84</v>
      </c>
      <c r="E109">
        <v>11.39</v>
      </c>
      <c r="F109">
        <v>16.75</v>
      </c>
    </row>
    <row r="110" spans="1:6" hidden="1" x14ac:dyDescent="0.25">
      <c r="A110" s="6" t="s">
        <v>88</v>
      </c>
      <c r="B110" s="6" t="s">
        <v>101</v>
      </c>
      <c r="C110">
        <v>19085.75</v>
      </c>
      <c r="D110">
        <v>19094.64</v>
      </c>
      <c r="E110">
        <v>8.89</v>
      </c>
      <c r="F110">
        <v>13.07</v>
      </c>
    </row>
    <row r="111" spans="1:6" hidden="1" x14ac:dyDescent="0.25">
      <c r="A111" s="6" t="s">
        <v>102</v>
      </c>
      <c r="B111" s="6" t="s">
        <v>58</v>
      </c>
      <c r="C111">
        <v>99502.02</v>
      </c>
      <c r="D111">
        <v>100950.27</v>
      </c>
      <c r="E111">
        <v>1448.25</v>
      </c>
      <c r="F111">
        <v>3845.32</v>
      </c>
    </row>
    <row r="112" spans="1:6" hidden="1" x14ac:dyDescent="0.25">
      <c r="A112" s="6" t="s">
        <v>102</v>
      </c>
      <c r="B112" s="6" t="s">
        <v>59</v>
      </c>
      <c r="C112">
        <v>99481.52</v>
      </c>
      <c r="D112">
        <v>100931.19</v>
      </c>
      <c r="E112">
        <v>1449.67</v>
      </c>
      <c r="F112">
        <v>3849.09</v>
      </c>
    </row>
    <row r="113" spans="1:6" hidden="1" x14ac:dyDescent="0.25">
      <c r="A113" s="6" t="s">
        <v>102</v>
      </c>
      <c r="B113" s="6" t="s">
        <v>60</v>
      </c>
      <c r="C113">
        <v>99458.22</v>
      </c>
      <c r="D113">
        <v>100905.73</v>
      </c>
      <c r="E113">
        <v>1447.51</v>
      </c>
      <c r="F113">
        <v>3843.35</v>
      </c>
    </row>
    <row r="114" spans="1:6" hidden="1" x14ac:dyDescent="0.25">
      <c r="A114" s="6" t="s">
        <v>102</v>
      </c>
      <c r="B114" s="6" t="s">
        <v>61</v>
      </c>
      <c r="C114">
        <v>99382.61</v>
      </c>
      <c r="D114">
        <v>100834.36</v>
      </c>
      <c r="E114">
        <v>1451.75</v>
      </c>
      <c r="F114">
        <v>3854.61</v>
      </c>
    </row>
    <row r="115" spans="1:6" hidden="1" x14ac:dyDescent="0.25">
      <c r="A115" s="6" t="s">
        <v>102</v>
      </c>
      <c r="B115" s="6" t="s">
        <v>68</v>
      </c>
      <c r="C115">
        <v>99339.07</v>
      </c>
      <c r="D115">
        <v>100791.98</v>
      </c>
      <c r="E115">
        <v>1452.91</v>
      </c>
      <c r="F115">
        <v>3857.69</v>
      </c>
    </row>
    <row r="116" spans="1:6" hidden="1" x14ac:dyDescent="0.25">
      <c r="A116" s="6" t="s">
        <v>102</v>
      </c>
      <c r="B116" s="6" t="s">
        <v>69</v>
      </c>
      <c r="C116">
        <v>99288.3</v>
      </c>
      <c r="D116">
        <v>100750.41</v>
      </c>
      <c r="E116">
        <v>1462.11</v>
      </c>
      <c r="F116">
        <v>3882.12</v>
      </c>
    </row>
    <row r="117" spans="1:6" hidden="1" x14ac:dyDescent="0.25">
      <c r="A117" s="6" t="s">
        <v>102</v>
      </c>
      <c r="B117" s="6" t="s">
        <v>70</v>
      </c>
      <c r="C117">
        <v>99236.26</v>
      </c>
      <c r="D117">
        <v>100695.86</v>
      </c>
      <c r="E117">
        <v>1459.6</v>
      </c>
      <c r="F117">
        <v>3875.45</v>
      </c>
    </row>
    <row r="118" spans="1:6" hidden="1" x14ac:dyDescent="0.25">
      <c r="A118" s="6" t="s">
        <v>102</v>
      </c>
      <c r="B118" s="6" t="s">
        <v>71</v>
      </c>
      <c r="C118">
        <v>99173.15</v>
      </c>
      <c r="D118">
        <v>100640.61</v>
      </c>
      <c r="E118">
        <v>1467.46</v>
      </c>
      <c r="F118">
        <v>3896.32</v>
      </c>
    </row>
    <row r="119" spans="1:6" hidden="1" x14ac:dyDescent="0.25">
      <c r="A119" s="6" t="s">
        <v>102</v>
      </c>
      <c r="B119" s="6" t="s">
        <v>103</v>
      </c>
      <c r="C119">
        <v>99093.75</v>
      </c>
      <c r="D119">
        <v>100556.95</v>
      </c>
      <c r="E119">
        <v>1463.2</v>
      </c>
      <c r="F119">
        <v>3885.01</v>
      </c>
    </row>
    <row r="120" spans="1:6" hidden="1" x14ac:dyDescent="0.25">
      <c r="A120" s="6" t="s">
        <v>102</v>
      </c>
      <c r="B120" s="6" t="s">
        <v>77</v>
      </c>
      <c r="C120">
        <v>99051.73</v>
      </c>
      <c r="D120">
        <v>100515.42</v>
      </c>
      <c r="E120">
        <v>1463.69</v>
      </c>
      <c r="F120">
        <v>3886.31</v>
      </c>
    </row>
    <row r="121" spans="1:6" hidden="1" x14ac:dyDescent="0.25">
      <c r="A121" s="6" t="s">
        <v>102</v>
      </c>
      <c r="B121" s="6" t="s">
        <v>89</v>
      </c>
      <c r="C121">
        <v>98950.2</v>
      </c>
      <c r="D121">
        <v>100416.48</v>
      </c>
      <c r="E121">
        <v>1466.28</v>
      </c>
      <c r="F121">
        <v>3893.19</v>
      </c>
    </row>
    <row r="122" spans="1:6" hidden="1" x14ac:dyDescent="0.25">
      <c r="A122" s="6" t="s">
        <v>102</v>
      </c>
      <c r="B122" s="6" t="s">
        <v>78</v>
      </c>
      <c r="C122">
        <v>98903.96</v>
      </c>
      <c r="D122">
        <v>100371.4</v>
      </c>
      <c r="E122">
        <v>1467.44</v>
      </c>
      <c r="F122">
        <v>3896.27</v>
      </c>
    </row>
    <row r="123" spans="1:6" hidden="1" x14ac:dyDescent="0.25">
      <c r="A123" s="6" t="s">
        <v>102</v>
      </c>
      <c r="B123" s="6" t="s">
        <v>72</v>
      </c>
      <c r="C123">
        <v>98846.75</v>
      </c>
      <c r="D123">
        <v>100316</v>
      </c>
      <c r="E123">
        <v>1469.25</v>
      </c>
      <c r="F123">
        <v>3901.07</v>
      </c>
    </row>
    <row r="124" spans="1:6" hidden="1" x14ac:dyDescent="0.25">
      <c r="A124" s="6" t="s">
        <v>102</v>
      </c>
      <c r="B124" s="6" t="s">
        <v>90</v>
      </c>
      <c r="C124">
        <v>98624.15</v>
      </c>
      <c r="D124">
        <v>100109.55</v>
      </c>
      <c r="E124">
        <v>1485.4</v>
      </c>
      <c r="F124">
        <v>3943.95</v>
      </c>
    </row>
    <row r="125" spans="1:6" hidden="1" x14ac:dyDescent="0.25">
      <c r="A125" s="6" t="s">
        <v>102</v>
      </c>
      <c r="B125" s="6" t="s">
        <v>104</v>
      </c>
      <c r="C125">
        <v>98391.86</v>
      </c>
      <c r="D125">
        <v>99898.99</v>
      </c>
      <c r="E125">
        <v>1507.13</v>
      </c>
      <c r="F125">
        <v>4001.65</v>
      </c>
    </row>
    <row r="126" spans="1:6" hidden="1" x14ac:dyDescent="0.25">
      <c r="A126" s="6" t="s">
        <v>102</v>
      </c>
      <c r="B126" s="6" t="s">
        <v>105</v>
      </c>
      <c r="C126">
        <v>98141.24</v>
      </c>
      <c r="D126">
        <v>99639.64</v>
      </c>
      <c r="E126">
        <v>1498.4</v>
      </c>
      <c r="F126">
        <v>3978.47</v>
      </c>
    </row>
    <row r="127" spans="1:6" hidden="1" x14ac:dyDescent="0.25">
      <c r="A127" s="6" t="s">
        <v>102</v>
      </c>
      <c r="B127" s="6" t="s">
        <v>106</v>
      </c>
      <c r="C127">
        <v>97834.29</v>
      </c>
      <c r="D127">
        <v>99336.63</v>
      </c>
      <c r="E127">
        <v>1502.34</v>
      </c>
      <c r="F127">
        <v>3988.93</v>
      </c>
    </row>
    <row r="128" spans="1:6" hidden="1" x14ac:dyDescent="0.25">
      <c r="A128" s="6" t="s">
        <v>102</v>
      </c>
      <c r="B128" s="6" t="s">
        <v>107</v>
      </c>
      <c r="C128">
        <v>97430.23</v>
      </c>
      <c r="D128">
        <v>98916.09</v>
      </c>
      <c r="E128">
        <v>1485.86</v>
      </c>
      <c r="F128">
        <v>3945.18</v>
      </c>
    </row>
    <row r="129" spans="1:6" hidden="1" x14ac:dyDescent="0.25">
      <c r="A129" s="6" t="s">
        <v>102</v>
      </c>
      <c r="B129" s="6" t="s">
        <v>108</v>
      </c>
      <c r="C129">
        <v>97113.19</v>
      </c>
      <c r="D129">
        <v>98600.5</v>
      </c>
      <c r="E129">
        <v>1487.31</v>
      </c>
      <c r="F129">
        <v>3949.03</v>
      </c>
    </row>
    <row r="130" spans="1:6" hidden="1" x14ac:dyDescent="0.25">
      <c r="A130" s="6" t="s">
        <v>102</v>
      </c>
      <c r="B130" s="6" t="s">
        <v>109</v>
      </c>
      <c r="C130">
        <v>96698.67</v>
      </c>
      <c r="D130">
        <v>98184.03</v>
      </c>
      <c r="E130">
        <v>1485.36</v>
      </c>
      <c r="F130">
        <v>3943.85</v>
      </c>
    </row>
    <row r="131" spans="1:6" hidden="1" x14ac:dyDescent="0.25">
      <c r="A131" s="6" t="s">
        <v>102</v>
      </c>
      <c r="B131" s="6" t="s">
        <v>110</v>
      </c>
      <c r="C131">
        <v>96363.36</v>
      </c>
      <c r="D131">
        <v>97851.62</v>
      </c>
      <c r="E131">
        <v>1488.26</v>
      </c>
      <c r="F131">
        <v>3951.55</v>
      </c>
    </row>
    <row r="132" spans="1:6" hidden="1" x14ac:dyDescent="0.25">
      <c r="A132" s="6" t="s">
        <v>102</v>
      </c>
      <c r="B132" s="6" t="s">
        <v>111</v>
      </c>
      <c r="C132">
        <v>95861.06</v>
      </c>
      <c r="D132">
        <v>97348.87</v>
      </c>
      <c r="E132">
        <v>1487.81</v>
      </c>
      <c r="F132">
        <v>3950.35</v>
      </c>
    </row>
    <row r="133" spans="1:6" hidden="1" x14ac:dyDescent="0.25">
      <c r="A133" s="6" t="s">
        <v>102</v>
      </c>
      <c r="B133" s="6" t="s">
        <v>112</v>
      </c>
      <c r="C133">
        <v>95437.41</v>
      </c>
      <c r="D133">
        <v>96925.17</v>
      </c>
      <c r="E133">
        <v>1487.76</v>
      </c>
      <c r="F133">
        <v>3950.22</v>
      </c>
    </row>
    <row r="134" spans="1:6" hidden="1" x14ac:dyDescent="0.25">
      <c r="A134" s="6" t="s">
        <v>102</v>
      </c>
      <c r="B134" s="6" t="s">
        <v>113</v>
      </c>
      <c r="C134">
        <v>94985.26</v>
      </c>
      <c r="D134">
        <v>96475.59</v>
      </c>
      <c r="E134">
        <v>1490.33</v>
      </c>
      <c r="F134">
        <v>3957.04</v>
      </c>
    </row>
    <row r="135" spans="1:6" hidden="1" x14ac:dyDescent="0.25">
      <c r="A135" s="6" t="s">
        <v>102</v>
      </c>
      <c r="B135" s="6" t="s">
        <v>114</v>
      </c>
      <c r="C135">
        <v>94551.87</v>
      </c>
      <c r="D135">
        <v>96003.85</v>
      </c>
      <c r="E135">
        <v>1451.98</v>
      </c>
      <c r="F135">
        <v>3855.22</v>
      </c>
    </row>
    <row r="136" spans="1:6" hidden="1" x14ac:dyDescent="0.25">
      <c r="A136" s="6" t="s">
        <v>102</v>
      </c>
      <c r="B136" s="6" t="s">
        <v>115</v>
      </c>
      <c r="C136">
        <v>93907.56</v>
      </c>
      <c r="D136">
        <v>95353.21</v>
      </c>
      <c r="E136">
        <v>1445.65</v>
      </c>
      <c r="F136">
        <v>3838.41</v>
      </c>
    </row>
    <row r="137" spans="1:6" hidden="1" x14ac:dyDescent="0.25">
      <c r="A137" s="6" t="s">
        <v>102</v>
      </c>
      <c r="B137" s="6" t="s">
        <v>116</v>
      </c>
      <c r="C137">
        <v>93606.64</v>
      </c>
      <c r="D137">
        <v>95052.06</v>
      </c>
      <c r="E137">
        <v>1445.42</v>
      </c>
      <c r="F137">
        <v>3837.8</v>
      </c>
    </row>
    <row r="138" spans="1:6" hidden="1" x14ac:dyDescent="0.25">
      <c r="A138" s="6" t="s">
        <v>102</v>
      </c>
      <c r="B138" s="6" t="s">
        <v>117</v>
      </c>
      <c r="C138">
        <v>93047.77</v>
      </c>
      <c r="D138">
        <v>94446.83</v>
      </c>
      <c r="E138">
        <v>1399.06</v>
      </c>
      <c r="F138">
        <v>3714.71</v>
      </c>
    </row>
    <row r="139" spans="1:6" hidden="1" x14ac:dyDescent="0.25">
      <c r="A139" s="6" t="s">
        <v>102</v>
      </c>
      <c r="B139" s="6" t="s">
        <v>118</v>
      </c>
      <c r="C139">
        <v>91898.85</v>
      </c>
      <c r="D139">
        <v>93239.77</v>
      </c>
      <c r="E139">
        <v>1340.92</v>
      </c>
      <c r="F139">
        <v>3560.34</v>
      </c>
    </row>
    <row r="140" spans="1:6" hidden="1" x14ac:dyDescent="0.25">
      <c r="A140" s="6" t="s">
        <v>102</v>
      </c>
      <c r="B140" s="6" t="s">
        <v>119</v>
      </c>
      <c r="C140">
        <v>89758.09</v>
      </c>
      <c r="D140">
        <v>91120.12</v>
      </c>
      <c r="E140">
        <v>1362.03</v>
      </c>
      <c r="F140">
        <v>3616.39</v>
      </c>
    </row>
    <row r="141" spans="1:6" hidden="1" x14ac:dyDescent="0.25">
      <c r="A141" s="6" t="s">
        <v>102</v>
      </c>
      <c r="B141" s="6" t="s">
        <v>120</v>
      </c>
      <c r="C141">
        <v>87743.83</v>
      </c>
      <c r="D141">
        <v>89082.59</v>
      </c>
      <c r="E141">
        <v>1338.76</v>
      </c>
      <c r="F141">
        <v>3554.6</v>
      </c>
    </row>
    <row r="142" spans="1:6" hidden="1" x14ac:dyDescent="0.25">
      <c r="A142" s="6" t="s">
        <v>102</v>
      </c>
      <c r="B142" s="6" t="s">
        <v>121</v>
      </c>
      <c r="C142">
        <v>85531.71</v>
      </c>
      <c r="D142">
        <v>86839.31</v>
      </c>
      <c r="E142">
        <v>1307.5999999999999</v>
      </c>
      <c r="F142">
        <v>3471.87</v>
      </c>
    </row>
    <row r="143" spans="1:6" hidden="1" x14ac:dyDescent="0.25">
      <c r="A143" s="6" t="s">
        <v>102</v>
      </c>
      <c r="B143" s="6" t="s">
        <v>122</v>
      </c>
      <c r="C143">
        <v>83637.789999999994</v>
      </c>
      <c r="D143">
        <v>84921.61</v>
      </c>
      <c r="E143">
        <v>1283.82</v>
      </c>
      <c r="F143">
        <v>3408.73</v>
      </c>
    </row>
    <row r="144" spans="1:6" hidden="1" x14ac:dyDescent="0.25">
      <c r="A144" s="6" t="s">
        <v>102</v>
      </c>
      <c r="B144" s="6" t="s">
        <v>123</v>
      </c>
      <c r="C144">
        <v>78232.47</v>
      </c>
      <c r="D144">
        <v>79445.899999999994</v>
      </c>
      <c r="E144">
        <v>1213.43</v>
      </c>
      <c r="F144">
        <v>3221.83</v>
      </c>
    </row>
    <row r="145" spans="1:6" hidden="1" x14ac:dyDescent="0.25">
      <c r="A145" s="6" t="s">
        <v>102</v>
      </c>
      <c r="B145" s="6" t="s">
        <v>124</v>
      </c>
      <c r="C145">
        <v>72784.36</v>
      </c>
      <c r="D145">
        <v>73918.12</v>
      </c>
      <c r="E145">
        <v>1133.76</v>
      </c>
      <c r="F145">
        <v>3010.3</v>
      </c>
    </row>
    <row r="146" spans="1:6" hidden="1" x14ac:dyDescent="0.25">
      <c r="A146" s="6" t="s">
        <v>102</v>
      </c>
      <c r="B146" s="6" t="s">
        <v>125</v>
      </c>
      <c r="C146">
        <v>70101.8</v>
      </c>
      <c r="D146">
        <v>71194.27</v>
      </c>
      <c r="E146">
        <v>1092.47</v>
      </c>
      <c r="F146">
        <v>2900.67</v>
      </c>
    </row>
    <row r="147" spans="1:6" hidden="1" x14ac:dyDescent="0.25">
      <c r="A147" s="6" t="s">
        <v>126</v>
      </c>
      <c r="B147" s="6" t="s">
        <v>58</v>
      </c>
      <c r="C147">
        <v>99502.02</v>
      </c>
      <c r="D147">
        <v>100950.27</v>
      </c>
      <c r="E147">
        <v>1448.25</v>
      </c>
      <c r="F147">
        <v>3845.32</v>
      </c>
    </row>
    <row r="148" spans="1:6" hidden="1" x14ac:dyDescent="0.25">
      <c r="A148" s="6" t="s">
        <v>126</v>
      </c>
      <c r="B148" s="6" t="s">
        <v>59</v>
      </c>
      <c r="C148">
        <v>99481.52</v>
      </c>
      <c r="D148">
        <v>100931.19</v>
      </c>
      <c r="E148">
        <v>1449.67</v>
      </c>
      <c r="F148">
        <v>3849.09</v>
      </c>
    </row>
    <row r="149" spans="1:6" hidden="1" x14ac:dyDescent="0.25">
      <c r="A149" s="6" t="s">
        <v>126</v>
      </c>
      <c r="B149" s="6" t="s">
        <v>60</v>
      </c>
      <c r="C149">
        <v>99458.22</v>
      </c>
      <c r="D149">
        <v>100905.73</v>
      </c>
      <c r="E149">
        <v>1447.51</v>
      </c>
      <c r="F149">
        <v>3843.35</v>
      </c>
    </row>
    <row r="150" spans="1:6" hidden="1" x14ac:dyDescent="0.25">
      <c r="A150" s="6" t="s">
        <v>126</v>
      </c>
      <c r="B150" s="6" t="s">
        <v>61</v>
      </c>
      <c r="C150">
        <v>99382.61</v>
      </c>
      <c r="D150">
        <v>100834.36</v>
      </c>
      <c r="E150">
        <v>1451.75</v>
      </c>
      <c r="F150">
        <v>3854.61</v>
      </c>
    </row>
    <row r="151" spans="1:6" hidden="1" x14ac:dyDescent="0.25">
      <c r="A151" s="6" t="s">
        <v>126</v>
      </c>
      <c r="B151" s="6" t="s">
        <v>68</v>
      </c>
      <c r="C151">
        <v>99339.07</v>
      </c>
      <c r="D151">
        <v>100791.98</v>
      </c>
      <c r="E151">
        <v>1452.91</v>
      </c>
      <c r="F151">
        <v>3857.69</v>
      </c>
    </row>
    <row r="152" spans="1:6" hidden="1" x14ac:dyDescent="0.25">
      <c r="A152" s="6" t="s">
        <v>126</v>
      </c>
      <c r="B152" s="6" t="s">
        <v>69</v>
      </c>
      <c r="C152">
        <v>99288.3</v>
      </c>
      <c r="D152">
        <v>100750.41</v>
      </c>
      <c r="E152">
        <v>1462.11</v>
      </c>
      <c r="F152">
        <v>3882.12</v>
      </c>
    </row>
    <row r="153" spans="1:6" hidden="1" x14ac:dyDescent="0.25">
      <c r="A153" s="6" t="s">
        <v>126</v>
      </c>
      <c r="B153" s="6" t="s">
        <v>70</v>
      </c>
      <c r="C153">
        <v>99236.26</v>
      </c>
      <c r="D153">
        <v>100695.86</v>
      </c>
      <c r="E153">
        <v>1459.6</v>
      </c>
      <c r="F153">
        <v>3875.45</v>
      </c>
    </row>
    <row r="154" spans="1:6" hidden="1" x14ac:dyDescent="0.25">
      <c r="A154" s="6" t="s">
        <v>126</v>
      </c>
      <c r="B154" s="6" t="s">
        <v>71</v>
      </c>
      <c r="C154">
        <v>99173.15</v>
      </c>
      <c r="D154">
        <v>100640.61</v>
      </c>
      <c r="E154">
        <v>1467.46</v>
      </c>
      <c r="F154">
        <v>3896.32</v>
      </c>
    </row>
    <row r="155" spans="1:6" hidden="1" x14ac:dyDescent="0.25">
      <c r="A155" s="6" t="s">
        <v>126</v>
      </c>
      <c r="B155" s="6" t="s">
        <v>103</v>
      </c>
      <c r="C155">
        <v>99093.75</v>
      </c>
      <c r="D155">
        <v>100556.95</v>
      </c>
      <c r="E155">
        <v>1463.2</v>
      </c>
      <c r="F155">
        <v>3885.01</v>
      </c>
    </row>
    <row r="156" spans="1:6" hidden="1" x14ac:dyDescent="0.25">
      <c r="A156" s="6" t="s">
        <v>126</v>
      </c>
      <c r="B156" s="6" t="s">
        <v>77</v>
      </c>
      <c r="C156">
        <v>99051.73</v>
      </c>
      <c r="D156">
        <v>100515.42</v>
      </c>
      <c r="E156">
        <v>1463.69</v>
      </c>
      <c r="F156">
        <v>3886.31</v>
      </c>
    </row>
    <row r="157" spans="1:6" hidden="1" x14ac:dyDescent="0.25">
      <c r="A157" s="6" t="s">
        <v>126</v>
      </c>
      <c r="B157" s="6" t="s">
        <v>89</v>
      </c>
      <c r="C157">
        <v>98950.2</v>
      </c>
      <c r="D157">
        <v>100416.48</v>
      </c>
      <c r="E157">
        <v>1466.28</v>
      </c>
      <c r="F157">
        <v>3893.19</v>
      </c>
    </row>
    <row r="158" spans="1:6" hidden="1" x14ac:dyDescent="0.25">
      <c r="A158" s="6" t="s">
        <v>126</v>
      </c>
      <c r="B158" s="6" t="s">
        <v>78</v>
      </c>
      <c r="C158">
        <v>98903.96</v>
      </c>
      <c r="D158">
        <v>100371.4</v>
      </c>
      <c r="E158">
        <v>1467.44</v>
      </c>
      <c r="F158">
        <v>3896.27</v>
      </c>
    </row>
    <row r="159" spans="1:6" hidden="1" x14ac:dyDescent="0.25">
      <c r="A159" s="6" t="s">
        <v>126</v>
      </c>
      <c r="B159" s="6" t="s">
        <v>72</v>
      </c>
      <c r="C159">
        <v>98846.75</v>
      </c>
      <c r="D159">
        <v>100316</v>
      </c>
      <c r="E159">
        <v>1469.25</v>
      </c>
      <c r="F159">
        <v>3901.07</v>
      </c>
    </row>
    <row r="160" spans="1:6" hidden="1" x14ac:dyDescent="0.25">
      <c r="A160" s="6" t="s">
        <v>126</v>
      </c>
      <c r="B160" s="6" t="s">
        <v>90</v>
      </c>
      <c r="C160">
        <v>98624.15</v>
      </c>
      <c r="D160">
        <v>100109.55</v>
      </c>
      <c r="E160">
        <v>1485.4</v>
      </c>
      <c r="F160">
        <v>3943.95</v>
      </c>
    </row>
    <row r="161" spans="1:6" hidden="1" x14ac:dyDescent="0.25">
      <c r="A161" s="6" t="s">
        <v>126</v>
      </c>
      <c r="B161" s="6" t="s">
        <v>104</v>
      </c>
      <c r="C161">
        <v>98391.86</v>
      </c>
      <c r="D161">
        <v>99898.99</v>
      </c>
      <c r="E161">
        <v>1507.13</v>
      </c>
      <c r="F161">
        <v>4001.65</v>
      </c>
    </row>
    <row r="162" spans="1:6" hidden="1" x14ac:dyDescent="0.25">
      <c r="A162" s="6" t="s">
        <v>126</v>
      </c>
      <c r="B162" s="6" t="s">
        <v>105</v>
      </c>
      <c r="C162">
        <v>98141.24</v>
      </c>
      <c r="D162">
        <v>99639.64</v>
      </c>
      <c r="E162">
        <v>1498.4</v>
      </c>
      <c r="F162">
        <v>3978.47</v>
      </c>
    </row>
    <row r="163" spans="1:6" hidden="1" x14ac:dyDescent="0.25">
      <c r="A163" s="6" t="s">
        <v>126</v>
      </c>
      <c r="B163" s="6" t="s">
        <v>106</v>
      </c>
      <c r="C163">
        <v>97834.29</v>
      </c>
      <c r="D163">
        <v>99336.63</v>
      </c>
      <c r="E163">
        <v>1502.34</v>
      </c>
      <c r="F163">
        <v>3988.93</v>
      </c>
    </row>
    <row r="164" spans="1:6" hidden="1" x14ac:dyDescent="0.25">
      <c r="A164" s="6" t="s">
        <v>126</v>
      </c>
      <c r="B164" s="6" t="s">
        <v>107</v>
      </c>
      <c r="C164">
        <v>97430.23</v>
      </c>
      <c r="D164">
        <v>98916.09</v>
      </c>
      <c r="E164">
        <v>1485.86</v>
      </c>
      <c r="F164">
        <v>3945.18</v>
      </c>
    </row>
    <row r="165" spans="1:6" hidden="1" x14ac:dyDescent="0.25">
      <c r="A165" s="6" t="s">
        <v>126</v>
      </c>
      <c r="B165" s="6" t="s">
        <v>108</v>
      </c>
      <c r="C165">
        <v>97113.19</v>
      </c>
      <c r="D165">
        <v>98600.5</v>
      </c>
      <c r="E165">
        <v>1487.31</v>
      </c>
      <c r="F165">
        <v>3949.03</v>
      </c>
    </row>
    <row r="166" spans="1:6" hidden="1" x14ac:dyDescent="0.25">
      <c r="A166" s="6" t="s">
        <v>126</v>
      </c>
      <c r="B166" s="6" t="s">
        <v>109</v>
      </c>
      <c r="C166">
        <v>96698.67</v>
      </c>
      <c r="D166">
        <v>98184.03</v>
      </c>
      <c r="E166">
        <v>1485.36</v>
      </c>
      <c r="F166">
        <v>3943.85</v>
      </c>
    </row>
    <row r="167" spans="1:6" hidden="1" x14ac:dyDescent="0.25">
      <c r="A167" s="6" t="s">
        <v>126</v>
      </c>
      <c r="B167" s="6" t="s">
        <v>110</v>
      </c>
      <c r="C167">
        <v>96363.36</v>
      </c>
      <c r="D167">
        <v>97851.62</v>
      </c>
      <c r="E167">
        <v>1488.26</v>
      </c>
      <c r="F167">
        <v>3951.55</v>
      </c>
    </row>
    <row r="168" spans="1:6" hidden="1" x14ac:dyDescent="0.25">
      <c r="A168" s="6" t="s">
        <v>126</v>
      </c>
      <c r="B168" s="6" t="s">
        <v>111</v>
      </c>
      <c r="C168">
        <v>95861.06</v>
      </c>
      <c r="D168">
        <v>97348.87</v>
      </c>
      <c r="E168">
        <v>1487.81</v>
      </c>
      <c r="F168">
        <v>3950.35</v>
      </c>
    </row>
    <row r="169" spans="1:6" hidden="1" x14ac:dyDescent="0.25">
      <c r="A169" s="6" t="s">
        <v>126</v>
      </c>
      <c r="B169" s="6" t="s">
        <v>112</v>
      </c>
      <c r="C169">
        <v>95437.41</v>
      </c>
      <c r="D169">
        <v>96925.17</v>
      </c>
      <c r="E169">
        <v>1487.76</v>
      </c>
      <c r="F169">
        <v>3950.22</v>
      </c>
    </row>
    <row r="170" spans="1:6" hidden="1" x14ac:dyDescent="0.25">
      <c r="A170" s="6" t="s">
        <v>126</v>
      </c>
      <c r="B170" s="6" t="s">
        <v>113</v>
      </c>
      <c r="C170">
        <v>94985.26</v>
      </c>
      <c r="D170">
        <v>96475.59</v>
      </c>
      <c r="E170">
        <v>1490.33</v>
      </c>
      <c r="F170">
        <v>3957.04</v>
      </c>
    </row>
    <row r="171" spans="1:6" hidden="1" x14ac:dyDescent="0.25">
      <c r="A171" s="6" t="s">
        <v>126</v>
      </c>
      <c r="B171" s="6" t="s">
        <v>114</v>
      </c>
      <c r="C171">
        <v>94551.87</v>
      </c>
      <c r="D171">
        <v>96003.85</v>
      </c>
      <c r="E171">
        <v>1451.98</v>
      </c>
      <c r="F171">
        <v>3855.22</v>
      </c>
    </row>
    <row r="172" spans="1:6" hidden="1" x14ac:dyDescent="0.25">
      <c r="A172" s="6" t="s">
        <v>126</v>
      </c>
      <c r="B172" s="6" t="s">
        <v>115</v>
      </c>
      <c r="C172">
        <v>93907.56</v>
      </c>
      <c r="D172">
        <v>95353.21</v>
      </c>
      <c r="E172">
        <v>1445.65</v>
      </c>
      <c r="F172">
        <v>3838.41</v>
      </c>
    </row>
    <row r="173" spans="1:6" hidden="1" x14ac:dyDescent="0.25">
      <c r="A173" s="6" t="s">
        <v>126</v>
      </c>
      <c r="B173" s="6" t="s">
        <v>116</v>
      </c>
      <c r="C173">
        <v>93606.64</v>
      </c>
      <c r="D173">
        <v>95052.06</v>
      </c>
      <c r="E173">
        <v>1445.42</v>
      </c>
      <c r="F173">
        <v>3837.8</v>
      </c>
    </row>
    <row r="174" spans="1:6" hidden="1" x14ac:dyDescent="0.25">
      <c r="A174" s="6" t="s">
        <v>126</v>
      </c>
      <c r="B174" s="6" t="s">
        <v>117</v>
      </c>
      <c r="C174">
        <v>93047.77</v>
      </c>
      <c r="D174">
        <v>94446.83</v>
      </c>
      <c r="E174">
        <v>1399.06</v>
      </c>
      <c r="F174">
        <v>3714.71</v>
      </c>
    </row>
    <row r="175" spans="1:6" hidden="1" x14ac:dyDescent="0.25">
      <c r="A175" s="6" t="s">
        <v>126</v>
      </c>
      <c r="B175" s="6" t="s">
        <v>118</v>
      </c>
      <c r="C175">
        <v>91898.85</v>
      </c>
      <c r="D175">
        <v>93239.77</v>
      </c>
      <c r="E175">
        <v>1340.92</v>
      </c>
      <c r="F175">
        <v>3560.34</v>
      </c>
    </row>
    <row r="176" spans="1:6" hidden="1" x14ac:dyDescent="0.25">
      <c r="A176" s="6" t="s">
        <v>126</v>
      </c>
      <c r="B176" s="6" t="s">
        <v>119</v>
      </c>
      <c r="C176">
        <v>89758.09</v>
      </c>
      <c r="D176">
        <v>91120.12</v>
      </c>
      <c r="E176">
        <v>1362.03</v>
      </c>
      <c r="F176">
        <v>3616.39</v>
      </c>
    </row>
    <row r="177" spans="1:6" hidden="1" x14ac:dyDescent="0.25">
      <c r="A177" s="6" t="s">
        <v>126</v>
      </c>
      <c r="B177" s="6" t="s">
        <v>120</v>
      </c>
      <c r="C177">
        <v>87743.83</v>
      </c>
      <c r="D177">
        <v>89082.59</v>
      </c>
      <c r="E177">
        <v>1338.76</v>
      </c>
      <c r="F177">
        <v>3554.6</v>
      </c>
    </row>
    <row r="178" spans="1:6" hidden="1" x14ac:dyDescent="0.25">
      <c r="A178" s="6" t="s">
        <v>126</v>
      </c>
      <c r="B178" s="6" t="s">
        <v>121</v>
      </c>
      <c r="C178">
        <v>85531.71</v>
      </c>
      <c r="D178">
        <v>86839.31</v>
      </c>
      <c r="E178">
        <v>1307.5999999999999</v>
      </c>
      <c r="F178">
        <v>3471.87</v>
      </c>
    </row>
    <row r="179" spans="1:6" hidden="1" x14ac:dyDescent="0.25">
      <c r="A179" s="6" t="s">
        <v>126</v>
      </c>
      <c r="B179" s="6" t="s">
        <v>122</v>
      </c>
      <c r="C179">
        <v>83637.789999999994</v>
      </c>
      <c r="D179">
        <v>84921.61</v>
      </c>
      <c r="E179">
        <v>1283.82</v>
      </c>
      <c r="F179">
        <v>3408.73</v>
      </c>
    </row>
    <row r="180" spans="1:6" hidden="1" x14ac:dyDescent="0.25">
      <c r="A180" s="6" t="s">
        <v>126</v>
      </c>
      <c r="B180" s="6" t="s">
        <v>123</v>
      </c>
      <c r="C180">
        <v>78232.47</v>
      </c>
      <c r="D180">
        <v>79445.899999999994</v>
      </c>
      <c r="E180">
        <v>1213.43</v>
      </c>
      <c r="F180">
        <v>3221.83</v>
      </c>
    </row>
    <row r="181" spans="1:6" hidden="1" x14ac:dyDescent="0.25">
      <c r="A181" s="6" t="s">
        <v>126</v>
      </c>
      <c r="B181" s="6" t="s">
        <v>124</v>
      </c>
      <c r="C181">
        <v>72784.36</v>
      </c>
      <c r="D181">
        <v>73918.12</v>
      </c>
      <c r="E181">
        <v>1133.76</v>
      </c>
      <c r="F181">
        <v>3010.3</v>
      </c>
    </row>
    <row r="182" spans="1:6" hidden="1" x14ac:dyDescent="0.25">
      <c r="A182" s="6" t="s">
        <v>126</v>
      </c>
      <c r="B182" s="6" t="s">
        <v>125</v>
      </c>
      <c r="C182">
        <v>70101.8</v>
      </c>
      <c r="D182">
        <v>71194.27</v>
      </c>
      <c r="E182">
        <v>1092.47</v>
      </c>
      <c r="F182">
        <v>2900.67</v>
      </c>
    </row>
    <row r="183" spans="1:6" hidden="1" x14ac:dyDescent="0.25">
      <c r="A183" s="6" t="s">
        <v>127</v>
      </c>
      <c r="B183" s="6" t="s">
        <v>58</v>
      </c>
      <c r="C183">
        <v>99797.67</v>
      </c>
      <c r="D183">
        <v>99797.83</v>
      </c>
      <c r="E183">
        <v>0.16</v>
      </c>
      <c r="F183">
        <v>0.16</v>
      </c>
    </row>
    <row r="184" spans="1:6" hidden="1" x14ac:dyDescent="0.25">
      <c r="A184" s="6" t="s">
        <v>127</v>
      </c>
      <c r="B184" s="6" t="s">
        <v>59</v>
      </c>
      <c r="C184">
        <v>99315.8</v>
      </c>
      <c r="D184">
        <v>99315.74</v>
      </c>
      <c r="E184">
        <v>-0.06</v>
      </c>
      <c r="F184">
        <v>0.06</v>
      </c>
    </row>
    <row r="185" spans="1:6" hidden="1" x14ac:dyDescent="0.25">
      <c r="A185" s="6" t="s">
        <v>127</v>
      </c>
      <c r="B185" s="6" t="s">
        <v>60</v>
      </c>
      <c r="C185">
        <v>98762.13</v>
      </c>
      <c r="D185">
        <v>98761.69</v>
      </c>
      <c r="E185">
        <v>-0.44</v>
      </c>
      <c r="F185">
        <v>0.44</v>
      </c>
    </row>
    <row r="186" spans="1:6" hidden="1" x14ac:dyDescent="0.25">
      <c r="A186" s="6" t="s">
        <v>127</v>
      </c>
      <c r="B186" s="6" t="s">
        <v>61</v>
      </c>
      <c r="C186">
        <v>98061.41</v>
      </c>
      <c r="D186">
        <v>98064.52</v>
      </c>
      <c r="E186">
        <v>3.11</v>
      </c>
      <c r="F186">
        <v>3.11</v>
      </c>
    </row>
    <row r="187" spans="1:6" hidden="1" x14ac:dyDescent="0.25">
      <c r="A187" s="6" t="s">
        <v>127</v>
      </c>
      <c r="B187" s="6" t="s">
        <v>68</v>
      </c>
      <c r="C187">
        <v>97404.1</v>
      </c>
      <c r="D187">
        <v>97406.47</v>
      </c>
      <c r="E187">
        <v>2.37</v>
      </c>
      <c r="F187">
        <v>2.37</v>
      </c>
    </row>
    <row r="188" spans="1:6" hidden="1" x14ac:dyDescent="0.25">
      <c r="A188" s="6" t="s">
        <v>127</v>
      </c>
      <c r="B188" s="6" t="s">
        <v>69</v>
      </c>
      <c r="C188">
        <v>96757.35</v>
      </c>
      <c r="D188">
        <v>96764.08</v>
      </c>
      <c r="E188">
        <v>6.73</v>
      </c>
      <c r="F188">
        <v>6.73</v>
      </c>
    </row>
    <row r="189" spans="1:6" hidden="1" x14ac:dyDescent="0.25">
      <c r="A189" s="6" t="s">
        <v>127</v>
      </c>
      <c r="B189" s="6" t="s">
        <v>70</v>
      </c>
      <c r="C189">
        <v>95999.09</v>
      </c>
      <c r="D189">
        <v>96011.51</v>
      </c>
      <c r="E189">
        <v>12.42</v>
      </c>
      <c r="F189">
        <v>12.42</v>
      </c>
    </row>
    <row r="190" spans="1:6" hidden="1" x14ac:dyDescent="0.25">
      <c r="A190" s="6" t="s">
        <v>127</v>
      </c>
      <c r="B190" s="6" t="s">
        <v>71</v>
      </c>
      <c r="C190">
        <v>95328.2</v>
      </c>
      <c r="D190">
        <v>95342.69</v>
      </c>
      <c r="E190">
        <v>14.49</v>
      </c>
      <c r="F190">
        <v>14.49</v>
      </c>
    </row>
    <row r="191" spans="1:6" hidden="1" x14ac:dyDescent="0.25">
      <c r="A191" s="6" t="s">
        <v>127</v>
      </c>
      <c r="B191" s="6" t="s">
        <v>103</v>
      </c>
      <c r="C191">
        <v>94635.839999999997</v>
      </c>
      <c r="D191">
        <v>94583.039999999994</v>
      </c>
      <c r="E191">
        <v>-52.8</v>
      </c>
      <c r="F191">
        <v>52.8</v>
      </c>
    </row>
    <row r="192" spans="1:6" hidden="1" x14ac:dyDescent="0.25">
      <c r="A192" s="6" t="s">
        <v>127</v>
      </c>
      <c r="B192" s="6" t="s">
        <v>77</v>
      </c>
      <c r="C192">
        <v>93847.07</v>
      </c>
      <c r="D192">
        <v>93865.46</v>
      </c>
      <c r="E192">
        <v>18.39</v>
      </c>
      <c r="F192">
        <v>18.39</v>
      </c>
    </row>
    <row r="193" spans="1:6" hidden="1" x14ac:dyDescent="0.25">
      <c r="A193" s="6" t="s">
        <v>127</v>
      </c>
      <c r="B193" s="6" t="s">
        <v>89</v>
      </c>
      <c r="C193">
        <v>93118.41</v>
      </c>
      <c r="D193">
        <v>93138.52</v>
      </c>
      <c r="E193">
        <v>20.11</v>
      </c>
      <c r="F193">
        <v>20.11</v>
      </c>
    </row>
    <row r="194" spans="1:6" hidden="1" x14ac:dyDescent="0.25">
      <c r="A194" s="6" t="s">
        <v>127</v>
      </c>
      <c r="B194" s="6" t="s">
        <v>78</v>
      </c>
      <c r="C194">
        <v>92317.02</v>
      </c>
      <c r="D194">
        <v>92339.85</v>
      </c>
      <c r="E194">
        <v>22.83</v>
      </c>
      <c r="F194">
        <v>22.83</v>
      </c>
    </row>
    <row r="195" spans="1:6" hidden="1" x14ac:dyDescent="0.25">
      <c r="A195" s="6" t="s">
        <v>127</v>
      </c>
      <c r="B195" s="6" t="s">
        <v>72</v>
      </c>
      <c r="C195">
        <v>91601.02</v>
      </c>
      <c r="D195">
        <v>91635.33</v>
      </c>
      <c r="E195">
        <v>34.31</v>
      </c>
      <c r="F195">
        <v>34.31</v>
      </c>
    </row>
    <row r="196" spans="1:6" hidden="1" x14ac:dyDescent="0.25">
      <c r="A196" s="6" t="s">
        <v>127</v>
      </c>
      <c r="B196" s="6" t="s">
        <v>90</v>
      </c>
      <c r="C196">
        <v>89487.39</v>
      </c>
      <c r="D196">
        <v>89558.2</v>
      </c>
      <c r="E196">
        <v>70.81</v>
      </c>
      <c r="F196">
        <v>70.81</v>
      </c>
    </row>
    <row r="197" spans="1:6" hidden="1" x14ac:dyDescent="0.25">
      <c r="A197" s="6" t="s">
        <v>127</v>
      </c>
      <c r="B197" s="6" t="s">
        <v>104</v>
      </c>
      <c r="C197">
        <v>87270.71</v>
      </c>
      <c r="D197">
        <v>87357.53</v>
      </c>
      <c r="E197">
        <v>86.82</v>
      </c>
      <c r="F197">
        <v>86.82</v>
      </c>
    </row>
    <row r="198" spans="1:6" hidden="1" x14ac:dyDescent="0.25">
      <c r="A198" s="6" t="s">
        <v>127</v>
      </c>
      <c r="B198" s="6" t="s">
        <v>105</v>
      </c>
      <c r="C198">
        <v>85082.6</v>
      </c>
      <c r="D198">
        <v>85186.02</v>
      </c>
      <c r="E198">
        <v>103.42</v>
      </c>
      <c r="F198">
        <v>103.42</v>
      </c>
    </row>
    <row r="199" spans="1:6" hidden="1" x14ac:dyDescent="0.25">
      <c r="A199" s="6" t="s">
        <v>127</v>
      </c>
      <c r="B199" s="6" t="s">
        <v>106</v>
      </c>
      <c r="C199">
        <v>82885.259999999995</v>
      </c>
      <c r="D199">
        <v>82983.520000000004</v>
      </c>
      <c r="E199">
        <v>98.26</v>
      </c>
      <c r="F199">
        <v>98.26</v>
      </c>
    </row>
    <row r="200" spans="1:6" hidden="1" x14ac:dyDescent="0.25">
      <c r="A200" s="6" t="s">
        <v>127</v>
      </c>
      <c r="B200" s="6" t="s">
        <v>107</v>
      </c>
      <c r="C200">
        <v>80832.25</v>
      </c>
      <c r="D200">
        <v>80963.289999999994</v>
      </c>
      <c r="E200">
        <v>131.04</v>
      </c>
      <c r="F200">
        <v>131.04</v>
      </c>
    </row>
    <row r="201" spans="1:6" hidden="1" x14ac:dyDescent="0.25">
      <c r="A201" s="6" t="s">
        <v>127</v>
      </c>
      <c r="B201" s="6" t="s">
        <v>108</v>
      </c>
      <c r="C201">
        <v>78815.839999999997</v>
      </c>
      <c r="D201">
        <v>78937.929999999993</v>
      </c>
      <c r="E201">
        <v>122.09</v>
      </c>
      <c r="F201">
        <v>122.09</v>
      </c>
    </row>
    <row r="202" spans="1:6" hidden="1" x14ac:dyDescent="0.25">
      <c r="A202" s="6" t="s">
        <v>127</v>
      </c>
      <c r="B202" s="6" t="s">
        <v>109</v>
      </c>
      <c r="C202">
        <v>76764.929999999993</v>
      </c>
      <c r="D202">
        <v>76875.22</v>
      </c>
      <c r="E202">
        <v>110.29</v>
      </c>
      <c r="F202">
        <v>110.29</v>
      </c>
    </row>
    <row r="203" spans="1:6" hidden="1" x14ac:dyDescent="0.25">
      <c r="A203" s="6" t="s">
        <v>127</v>
      </c>
      <c r="B203" s="6" t="s">
        <v>110</v>
      </c>
      <c r="C203">
        <v>74696.639999999999</v>
      </c>
      <c r="D203">
        <v>74843.850000000006</v>
      </c>
      <c r="E203">
        <v>147.21</v>
      </c>
      <c r="F203">
        <v>147.21</v>
      </c>
    </row>
    <row r="204" spans="1:6" hidden="1" x14ac:dyDescent="0.25">
      <c r="A204" s="6" t="s">
        <v>127</v>
      </c>
      <c r="B204" s="6" t="s">
        <v>111</v>
      </c>
      <c r="C204">
        <v>72698.91</v>
      </c>
      <c r="D204">
        <v>72885.75</v>
      </c>
      <c r="E204">
        <v>186.84</v>
      </c>
      <c r="F204">
        <v>186.84</v>
      </c>
    </row>
    <row r="205" spans="1:6" hidden="1" x14ac:dyDescent="0.25">
      <c r="A205" s="6" t="s">
        <v>127</v>
      </c>
      <c r="B205" s="6" t="s">
        <v>112</v>
      </c>
      <c r="C205">
        <v>70849.37</v>
      </c>
      <c r="D205">
        <v>71044.009999999995</v>
      </c>
      <c r="E205">
        <v>194.64</v>
      </c>
      <c r="F205">
        <v>194.64</v>
      </c>
    </row>
    <row r="206" spans="1:6" hidden="1" x14ac:dyDescent="0.25">
      <c r="A206" s="6" t="s">
        <v>127</v>
      </c>
      <c r="B206" s="6" t="s">
        <v>113</v>
      </c>
      <c r="C206">
        <v>69124.81</v>
      </c>
      <c r="D206">
        <v>69326.899999999994</v>
      </c>
      <c r="E206">
        <v>202.09</v>
      </c>
      <c r="F206">
        <v>202.09</v>
      </c>
    </row>
    <row r="207" spans="1:6" hidden="1" x14ac:dyDescent="0.25">
      <c r="A207" s="6" t="s">
        <v>127</v>
      </c>
      <c r="B207" s="6" t="s">
        <v>114</v>
      </c>
      <c r="C207">
        <v>67169.960000000006</v>
      </c>
      <c r="D207">
        <v>67379.199999999997</v>
      </c>
      <c r="E207">
        <v>209.24</v>
      </c>
      <c r="F207">
        <v>209.24</v>
      </c>
    </row>
    <row r="208" spans="1:6" hidden="1" x14ac:dyDescent="0.25">
      <c r="A208" s="6" t="s">
        <v>127</v>
      </c>
      <c r="B208" s="6" t="s">
        <v>115</v>
      </c>
      <c r="C208">
        <v>65377.4</v>
      </c>
      <c r="D208">
        <v>65644.259999999995</v>
      </c>
      <c r="E208">
        <v>266.86</v>
      </c>
      <c r="F208">
        <v>266.86</v>
      </c>
    </row>
    <row r="209" spans="1:6" hidden="1" x14ac:dyDescent="0.25">
      <c r="A209" s="6" t="s">
        <v>127</v>
      </c>
      <c r="B209" s="6" t="s">
        <v>116</v>
      </c>
      <c r="C209">
        <v>63669.25</v>
      </c>
      <c r="D209">
        <v>63943.16</v>
      </c>
      <c r="E209">
        <v>273.91000000000003</v>
      </c>
      <c r="F209">
        <v>273.91000000000003</v>
      </c>
    </row>
    <row r="210" spans="1:6" hidden="1" x14ac:dyDescent="0.25">
      <c r="A210" s="6" t="s">
        <v>127</v>
      </c>
      <c r="B210" s="6" t="s">
        <v>117</v>
      </c>
      <c r="C210">
        <v>62123.41</v>
      </c>
      <c r="D210">
        <v>62396.27</v>
      </c>
      <c r="E210">
        <v>272.86</v>
      </c>
      <c r="F210">
        <v>272.86</v>
      </c>
    </row>
    <row r="211" spans="1:6" hidden="1" x14ac:dyDescent="0.25">
      <c r="A211" s="6" t="s">
        <v>127</v>
      </c>
      <c r="B211" s="6" t="s">
        <v>118</v>
      </c>
      <c r="C211">
        <v>58686.07</v>
      </c>
      <c r="D211">
        <v>58950.39</v>
      </c>
      <c r="E211">
        <v>264.32</v>
      </c>
      <c r="F211">
        <v>264.32</v>
      </c>
    </row>
    <row r="212" spans="1:6" hidden="1" x14ac:dyDescent="0.25">
      <c r="A212" s="6" t="s">
        <v>127</v>
      </c>
      <c r="B212" s="6" t="s">
        <v>119</v>
      </c>
      <c r="C212">
        <v>52708.71</v>
      </c>
      <c r="D212">
        <v>52988.97</v>
      </c>
      <c r="E212">
        <v>280.26</v>
      </c>
      <c r="F212">
        <v>280.26</v>
      </c>
    </row>
    <row r="213" spans="1:6" hidden="1" x14ac:dyDescent="0.25">
      <c r="A213" s="6" t="s">
        <v>127</v>
      </c>
      <c r="B213" s="6" t="s">
        <v>120</v>
      </c>
      <c r="C213">
        <v>47184.34</v>
      </c>
      <c r="D213">
        <v>47473.23</v>
      </c>
      <c r="E213">
        <v>288.89</v>
      </c>
      <c r="F213">
        <v>288.89</v>
      </c>
    </row>
    <row r="214" spans="1:6" hidden="1" x14ac:dyDescent="0.25">
      <c r="A214" s="6" t="s">
        <v>127</v>
      </c>
      <c r="B214" s="6" t="s">
        <v>121</v>
      </c>
      <c r="C214">
        <v>42297.53</v>
      </c>
      <c r="D214">
        <v>42543.199999999997</v>
      </c>
      <c r="E214">
        <v>245.67</v>
      </c>
      <c r="F214">
        <v>245.67</v>
      </c>
    </row>
    <row r="215" spans="1:6" hidden="1" x14ac:dyDescent="0.25">
      <c r="A215" s="6" t="s">
        <v>127</v>
      </c>
      <c r="B215" s="6" t="s">
        <v>122</v>
      </c>
      <c r="C215">
        <v>37935.050000000003</v>
      </c>
      <c r="D215">
        <v>38133.51</v>
      </c>
      <c r="E215">
        <v>198.46</v>
      </c>
      <c r="F215">
        <v>198.46</v>
      </c>
    </row>
    <row r="216" spans="1:6" hidden="1" x14ac:dyDescent="0.25">
      <c r="A216" s="6" t="s">
        <v>127</v>
      </c>
      <c r="B216" s="6" t="s">
        <v>123</v>
      </c>
      <c r="C216">
        <v>30443.77</v>
      </c>
      <c r="D216">
        <v>30636.16</v>
      </c>
      <c r="E216">
        <v>192.39</v>
      </c>
      <c r="F216">
        <v>192.39</v>
      </c>
    </row>
    <row r="217" spans="1:6" hidden="1" x14ac:dyDescent="0.25">
      <c r="A217" s="6" t="s">
        <v>127</v>
      </c>
      <c r="B217" s="6" t="s">
        <v>124</v>
      </c>
      <c r="C217">
        <v>24250.85</v>
      </c>
      <c r="D217">
        <v>24430.15</v>
      </c>
      <c r="E217">
        <v>179.3</v>
      </c>
      <c r="F217">
        <v>179.3</v>
      </c>
    </row>
    <row r="218" spans="1:6" hidden="1" x14ac:dyDescent="0.25">
      <c r="A218" s="6" t="s">
        <v>127</v>
      </c>
      <c r="B218" s="6" t="s">
        <v>125</v>
      </c>
      <c r="C218">
        <v>21504.560000000001</v>
      </c>
      <c r="D218">
        <v>21675.08</v>
      </c>
      <c r="E218">
        <v>170.52</v>
      </c>
      <c r="F218">
        <v>170.52</v>
      </c>
    </row>
    <row r="219" spans="1:6" hidden="1" x14ac:dyDescent="0.25">
      <c r="A219" s="6" t="s">
        <v>128</v>
      </c>
      <c r="B219" s="6" t="s">
        <v>58</v>
      </c>
      <c r="C219">
        <v>5294.5690000000004</v>
      </c>
      <c r="D219">
        <v>5371.6210000000001</v>
      </c>
      <c r="E219">
        <v>77.052000000000007</v>
      </c>
      <c r="F219">
        <v>3852.6</v>
      </c>
    </row>
    <row r="220" spans="1:6" hidden="1" x14ac:dyDescent="0.25">
      <c r="A220" s="6" t="s">
        <v>128</v>
      </c>
      <c r="B220" s="6" t="s">
        <v>59</v>
      </c>
      <c r="C220">
        <v>5319.1610000000001</v>
      </c>
      <c r="D220">
        <v>5396.6760000000004</v>
      </c>
      <c r="E220">
        <v>77.515000000000001</v>
      </c>
      <c r="F220">
        <v>3875.75</v>
      </c>
    </row>
    <row r="221" spans="1:6" hidden="1" x14ac:dyDescent="0.25">
      <c r="A221" s="6" t="s">
        <v>128</v>
      </c>
      <c r="B221" s="6" t="s">
        <v>60</v>
      </c>
      <c r="C221">
        <v>5347.7280000000001</v>
      </c>
      <c r="D221">
        <v>5425.5829999999996</v>
      </c>
      <c r="E221">
        <v>77.855000000000004</v>
      </c>
      <c r="F221">
        <v>3892.75</v>
      </c>
    </row>
    <row r="222" spans="1:6" hidden="1" x14ac:dyDescent="0.25">
      <c r="A222" s="6" t="s">
        <v>128</v>
      </c>
      <c r="B222" s="6" t="s">
        <v>61</v>
      </c>
      <c r="C222">
        <v>5381.8469999999998</v>
      </c>
      <c r="D222">
        <v>5460.29</v>
      </c>
      <c r="E222">
        <v>78.442999999999998</v>
      </c>
      <c r="F222">
        <v>3922.15</v>
      </c>
    </row>
    <row r="223" spans="1:6" hidden="1" x14ac:dyDescent="0.25">
      <c r="A223" s="6" t="s">
        <v>128</v>
      </c>
      <c r="B223" s="6" t="s">
        <v>68</v>
      </c>
      <c r="C223">
        <v>5415.7910000000002</v>
      </c>
      <c r="D223">
        <v>5494.8680000000004</v>
      </c>
      <c r="E223">
        <v>79.076999999999998</v>
      </c>
      <c r="F223">
        <v>3953.85</v>
      </c>
    </row>
    <row r="224" spans="1:6" hidden="1" x14ac:dyDescent="0.25">
      <c r="A224" s="6" t="s">
        <v>128</v>
      </c>
      <c r="B224" s="6" t="s">
        <v>69</v>
      </c>
      <c r="C224">
        <v>5449.2049999999999</v>
      </c>
      <c r="D224">
        <v>5529.0649999999996</v>
      </c>
      <c r="E224">
        <v>79.86</v>
      </c>
      <c r="F224">
        <v>3993</v>
      </c>
    </row>
    <row r="225" spans="1:6" hidden="1" x14ac:dyDescent="0.25">
      <c r="A225" s="6" t="s">
        <v>128</v>
      </c>
      <c r="B225" s="6" t="s">
        <v>70</v>
      </c>
      <c r="C225">
        <v>5489.3680000000004</v>
      </c>
      <c r="D225">
        <v>5569.3869999999997</v>
      </c>
      <c r="E225">
        <v>80.019000000000005</v>
      </c>
      <c r="F225">
        <v>4000.95</v>
      </c>
    </row>
    <row r="226" spans="1:6" hidden="1" x14ac:dyDescent="0.25">
      <c r="A226" s="6" t="s">
        <v>128</v>
      </c>
      <c r="B226" s="6" t="s">
        <v>71</v>
      </c>
      <c r="C226">
        <v>5524.4849999999997</v>
      </c>
      <c r="D226">
        <v>5605.3779999999997</v>
      </c>
      <c r="E226">
        <v>80.893000000000001</v>
      </c>
      <c r="F226">
        <v>4044.65</v>
      </c>
    </row>
    <row r="227" spans="1:6" hidden="1" x14ac:dyDescent="0.25">
      <c r="A227" s="6" t="s">
        <v>128</v>
      </c>
      <c r="B227" s="6" t="s">
        <v>103</v>
      </c>
      <c r="C227">
        <v>5560.4470000000001</v>
      </c>
      <c r="D227">
        <v>5645.701</v>
      </c>
      <c r="E227">
        <v>85.254000000000005</v>
      </c>
      <c r="F227">
        <v>4262.7</v>
      </c>
    </row>
    <row r="228" spans="1:6" hidden="1" x14ac:dyDescent="0.25">
      <c r="A228" s="6" t="s">
        <v>128</v>
      </c>
      <c r="B228" s="6" t="s">
        <v>77</v>
      </c>
      <c r="C228">
        <v>5604.8040000000001</v>
      </c>
      <c r="D228">
        <v>5686.5119999999997</v>
      </c>
      <c r="E228">
        <v>81.707999999999998</v>
      </c>
      <c r="F228">
        <v>4085.4</v>
      </c>
    </row>
    <row r="229" spans="1:6" hidden="1" x14ac:dyDescent="0.25">
      <c r="A229" s="6" t="s">
        <v>128</v>
      </c>
      <c r="B229" s="6" t="s">
        <v>89</v>
      </c>
      <c r="C229">
        <v>5642.8729999999996</v>
      </c>
      <c r="D229">
        <v>5725.2529999999997</v>
      </c>
      <c r="E229">
        <v>82.38</v>
      </c>
      <c r="F229">
        <v>4119</v>
      </c>
    </row>
    <row r="230" spans="1:6" hidden="1" x14ac:dyDescent="0.25">
      <c r="A230" s="6" t="s">
        <v>128</v>
      </c>
      <c r="B230" s="6" t="s">
        <v>78</v>
      </c>
      <c r="C230">
        <v>5689.1970000000001</v>
      </c>
      <c r="D230">
        <v>5772.1809999999996</v>
      </c>
      <c r="E230">
        <v>82.983999999999995</v>
      </c>
      <c r="F230">
        <v>4149.2</v>
      </c>
    </row>
    <row r="231" spans="1:6" hidden="1" x14ac:dyDescent="0.25">
      <c r="A231" s="6" t="s">
        <v>128</v>
      </c>
      <c r="B231" s="6" t="s">
        <v>72</v>
      </c>
      <c r="C231">
        <v>5730.35</v>
      </c>
      <c r="D231">
        <v>5813.348</v>
      </c>
      <c r="E231">
        <v>82.998000000000005</v>
      </c>
      <c r="F231">
        <v>4149.8999999999996</v>
      </c>
    </row>
    <row r="232" spans="1:6" hidden="1" x14ac:dyDescent="0.25">
      <c r="A232" s="6" t="s">
        <v>128</v>
      </c>
      <c r="B232" s="6" t="s">
        <v>90</v>
      </c>
      <c r="C232">
        <v>5852.4880000000003</v>
      </c>
      <c r="D232">
        <v>5935.9359999999997</v>
      </c>
      <c r="E232">
        <v>83.447999999999993</v>
      </c>
      <c r="F232">
        <v>4172.3999999999996</v>
      </c>
    </row>
    <row r="233" spans="1:6" hidden="1" x14ac:dyDescent="0.25">
      <c r="A233" s="6" t="s">
        <v>128</v>
      </c>
      <c r="B233" s="6" t="s">
        <v>104</v>
      </c>
      <c r="C233">
        <v>5987.0069999999996</v>
      </c>
      <c r="D233">
        <v>6072.6719999999996</v>
      </c>
      <c r="E233">
        <v>85.665000000000006</v>
      </c>
      <c r="F233">
        <v>4283.25</v>
      </c>
    </row>
    <row r="234" spans="1:6" hidden="1" x14ac:dyDescent="0.25">
      <c r="A234" s="6" t="s">
        <v>128</v>
      </c>
      <c r="B234" s="6" t="s">
        <v>105</v>
      </c>
      <c r="C234">
        <v>6125.3360000000002</v>
      </c>
      <c r="D234">
        <v>6211.3050000000003</v>
      </c>
      <c r="E234">
        <v>85.968999999999994</v>
      </c>
      <c r="F234">
        <v>4298.45</v>
      </c>
    </row>
    <row r="235" spans="1:6" hidden="1" x14ac:dyDescent="0.25">
      <c r="A235" s="6" t="s">
        <v>128</v>
      </c>
      <c r="B235" s="6" t="s">
        <v>106</v>
      </c>
      <c r="C235">
        <v>6268.0559999999996</v>
      </c>
      <c r="D235">
        <v>6356.7719999999999</v>
      </c>
      <c r="E235">
        <v>88.715999999999994</v>
      </c>
      <c r="F235">
        <v>4435.8</v>
      </c>
    </row>
    <row r="236" spans="1:6" hidden="1" x14ac:dyDescent="0.25">
      <c r="A236" s="6" t="s">
        <v>128</v>
      </c>
      <c r="B236" s="6" t="s">
        <v>107</v>
      </c>
      <c r="C236">
        <v>6400.71</v>
      </c>
      <c r="D236">
        <v>6487.8059999999996</v>
      </c>
      <c r="E236">
        <v>87.096000000000004</v>
      </c>
      <c r="F236">
        <v>4354.8</v>
      </c>
    </row>
    <row r="237" spans="1:6" hidden="1" x14ac:dyDescent="0.25">
      <c r="A237" s="6" t="s">
        <v>128</v>
      </c>
      <c r="B237" s="6" t="s">
        <v>108</v>
      </c>
      <c r="C237">
        <v>6543.1040000000003</v>
      </c>
      <c r="D237">
        <v>6633.0370000000003</v>
      </c>
      <c r="E237">
        <v>89.933000000000007</v>
      </c>
      <c r="F237">
        <v>4496.6499999999996</v>
      </c>
    </row>
    <row r="238" spans="1:6" hidden="1" x14ac:dyDescent="0.25">
      <c r="A238" s="6" t="s">
        <v>128</v>
      </c>
      <c r="B238" s="6" t="s">
        <v>109</v>
      </c>
      <c r="C238">
        <v>6689.2389999999996</v>
      </c>
      <c r="D238">
        <v>6782.2460000000001</v>
      </c>
      <c r="E238">
        <v>93.007000000000005</v>
      </c>
      <c r="F238">
        <v>4650.3500000000004</v>
      </c>
    </row>
    <row r="239" spans="1:6" hidden="1" x14ac:dyDescent="0.25">
      <c r="A239" s="6" t="s">
        <v>128</v>
      </c>
      <c r="B239" s="6" t="s">
        <v>111</v>
      </c>
      <c r="C239">
        <v>7002.1819999999998</v>
      </c>
      <c r="D239">
        <v>7092.63</v>
      </c>
      <c r="E239">
        <v>90.447999999999993</v>
      </c>
      <c r="F239">
        <v>4522.3999999999996</v>
      </c>
    </row>
    <row r="240" spans="1:6" hidden="1" x14ac:dyDescent="0.25">
      <c r="A240" s="6" t="s">
        <v>129</v>
      </c>
      <c r="B240" s="6" t="s">
        <v>57</v>
      </c>
      <c r="C240">
        <v>3350.5</v>
      </c>
      <c r="D240">
        <v>3350.5</v>
      </c>
      <c r="E240">
        <v>0</v>
      </c>
      <c r="F240">
        <v>0</v>
      </c>
    </row>
    <row r="241" spans="1:6" hidden="1" x14ac:dyDescent="0.25">
      <c r="A241" s="6" t="s">
        <v>129</v>
      </c>
      <c r="B241" s="6" t="s">
        <v>58</v>
      </c>
      <c r="C241">
        <v>3357.5</v>
      </c>
      <c r="D241">
        <v>3310</v>
      </c>
      <c r="E241">
        <v>-47.5</v>
      </c>
      <c r="F241">
        <v>1425</v>
      </c>
    </row>
    <row r="242" spans="1:6" hidden="1" x14ac:dyDescent="0.25">
      <c r="A242" s="6" t="s">
        <v>129</v>
      </c>
      <c r="B242" s="6" t="s">
        <v>59</v>
      </c>
      <c r="C242">
        <v>3360</v>
      </c>
      <c r="D242">
        <v>3295</v>
      </c>
      <c r="E242">
        <v>-65</v>
      </c>
      <c r="F242">
        <v>1950</v>
      </c>
    </row>
    <row r="243" spans="1:6" hidden="1" x14ac:dyDescent="0.25">
      <c r="A243" s="6" t="s">
        <v>129</v>
      </c>
      <c r="B243" s="6" t="s">
        <v>60</v>
      </c>
      <c r="C243">
        <v>3325</v>
      </c>
      <c r="D243">
        <v>3285</v>
      </c>
      <c r="E243">
        <v>-40</v>
      </c>
      <c r="F243">
        <v>1200</v>
      </c>
    </row>
    <row r="244" spans="1:6" hidden="1" x14ac:dyDescent="0.25">
      <c r="A244" s="6" t="s">
        <v>129</v>
      </c>
      <c r="B244" s="6" t="s">
        <v>61</v>
      </c>
      <c r="C244">
        <v>3290</v>
      </c>
      <c r="D244">
        <v>3262.5</v>
      </c>
      <c r="E244">
        <v>-27.5</v>
      </c>
      <c r="F244">
        <v>825</v>
      </c>
    </row>
    <row r="245" spans="1:6" hidden="1" x14ac:dyDescent="0.25">
      <c r="A245" s="6" t="s">
        <v>129</v>
      </c>
      <c r="B245" s="6" t="s">
        <v>68</v>
      </c>
      <c r="C245">
        <v>3310</v>
      </c>
      <c r="D245">
        <v>3265</v>
      </c>
      <c r="E245">
        <v>-45</v>
      </c>
      <c r="F245">
        <v>1350</v>
      </c>
    </row>
    <row r="246" spans="1:6" hidden="1" x14ac:dyDescent="0.25">
      <c r="A246" s="6" t="s">
        <v>129</v>
      </c>
      <c r="B246" s="6" t="s">
        <v>69</v>
      </c>
      <c r="C246">
        <v>3245</v>
      </c>
      <c r="D246">
        <v>3200</v>
      </c>
      <c r="E246">
        <v>-45</v>
      </c>
      <c r="F246">
        <v>1350</v>
      </c>
    </row>
    <row r="247" spans="1:6" hidden="1" x14ac:dyDescent="0.25">
      <c r="A247" s="6" t="s">
        <v>129</v>
      </c>
      <c r="B247" s="6" t="s">
        <v>70</v>
      </c>
      <c r="C247">
        <v>3050</v>
      </c>
      <c r="D247">
        <v>3050</v>
      </c>
      <c r="E247">
        <v>0</v>
      </c>
      <c r="F247">
        <v>0</v>
      </c>
    </row>
    <row r="248" spans="1:6" hidden="1" x14ac:dyDescent="0.25">
      <c r="A248" s="6" t="s">
        <v>129</v>
      </c>
      <c r="B248" s="6" t="s">
        <v>71</v>
      </c>
      <c r="C248">
        <v>2725</v>
      </c>
      <c r="D248">
        <v>2750</v>
      </c>
      <c r="E248">
        <v>25</v>
      </c>
      <c r="F248">
        <v>750</v>
      </c>
    </row>
    <row r="249" spans="1:6" hidden="1" x14ac:dyDescent="0.25">
      <c r="A249" s="6" t="s">
        <v>129</v>
      </c>
      <c r="B249" s="6" t="s">
        <v>103</v>
      </c>
      <c r="C249">
        <v>2725</v>
      </c>
      <c r="D249">
        <v>2750</v>
      </c>
      <c r="E249">
        <v>25</v>
      </c>
      <c r="F249">
        <v>750</v>
      </c>
    </row>
    <row r="250" spans="1:6" hidden="1" x14ac:dyDescent="0.25">
      <c r="A250" s="6" t="s">
        <v>129</v>
      </c>
      <c r="B250" s="6" t="s">
        <v>77</v>
      </c>
      <c r="C250">
        <v>2755</v>
      </c>
      <c r="D250">
        <v>2755</v>
      </c>
      <c r="E250">
        <v>0</v>
      </c>
      <c r="F250">
        <v>0</v>
      </c>
    </row>
    <row r="251" spans="1:6" hidden="1" x14ac:dyDescent="0.25">
      <c r="A251" s="6" t="s">
        <v>129</v>
      </c>
      <c r="B251" s="6" t="s">
        <v>89</v>
      </c>
      <c r="C251">
        <v>2755</v>
      </c>
      <c r="D251">
        <v>2755</v>
      </c>
      <c r="E251">
        <v>0</v>
      </c>
      <c r="F251">
        <v>0</v>
      </c>
    </row>
    <row r="252" spans="1:6" hidden="1" x14ac:dyDescent="0.25">
      <c r="A252" s="6" t="s">
        <v>129</v>
      </c>
      <c r="B252" s="6" t="s">
        <v>78</v>
      </c>
      <c r="C252">
        <v>2746</v>
      </c>
      <c r="D252">
        <v>2750</v>
      </c>
      <c r="E252">
        <v>4</v>
      </c>
      <c r="F252">
        <v>120</v>
      </c>
    </row>
    <row r="253" spans="1:6" hidden="1" x14ac:dyDescent="0.25">
      <c r="A253" s="6" t="s">
        <v>129</v>
      </c>
      <c r="B253" s="6" t="s">
        <v>72</v>
      </c>
      <c r="C253">
        <v>2880</v>
      </c>
      <c r="D253">
        <v>2880</v>
      </c>
      <c r="E253">
        <v>0</v>
      </c>
      <c r="F253">
        <v>0</v>
      </c>
    </row>
    <row r="254" spans="1:6" hidden="1" x14ac:dyDescent="0.25">
      <c r="A254" s="6" t="s">
        <v>129</v>
      </c>
      <c r="B254" s="6" t="s">
        <v>79</v>
      </c>
      <c r="C254">
        <v>2880</v>
      </c>
      <c r="D254">
        <v>2880</v>
      </c>
      <c r="E254">
        <v>0</v>
      </c>
      <c r="F254">
        <v>0</v>
      </c>
    </row>
    <row r="255" spans="1:6" hidden="1" x14ac:dyDescent="0.25">
      <c r="A255" s="6" t="s">
        <v>129</v>
      </c>
      <c r="B255" s="6" t="s">
        <v>139</v>
      </c>
      <c r="C255">
        <v>2880</v>
      </c>
      <c r="D255">
        <v>2880</v>
      </c>
      <c r="E255">
        <v>0</v>
      </c>
      <c r="F255">
        <v>0</v>
      </c>
    </row>
    <row r="256" spans="1:6" hidden="1" x14ac:dyDescent="0.25">
      <c r="A256" s="6" t="s">
        <v>130</v>
      </c>
      <c r="B256" s="6" t="s">
        <v>58</v>
      </c>
      <c r="C256">
        <v>1173.347</v>
      </c>
      <c r="D256">
        <v>1172.8040000000001</v>
      </c>
      <c r="E256">
        <v>-0.54300000000000004</v>
      </c>
      <c r="F256">
        <v>29.09</v>
      </c>
    </row>
    <row r="257" spans="1:6" hidden="1" x14ac:dyDescent="0.25">
      <c r="A257" s="6" t="s">
        <v>130</v>
      </c>
      <c r="B257" s="6" t="s">
        <v>59</v>
      </c>
      <c r="C257">
        <v>1174.0930000000001</v>
      </c>
      <c r="D257">
        <v>1173.489</v>
      </c>
      <c r="E257">
        <v>-0.60399999999999998</v>
      </c>
      <c r="F257">
        <v>32.36</v>
      </c>
    </row>
    <row r="258" spans="1:6" hidden="1" x14ac:dyDescent="0.25">
      <c r="A258" s="6" t="s">
        <v>130</v>
      </c>
      <c r="B258" s="6" t="s">
        <v>60</v>
      </c>
      <c r="C258">
        <v>1174.7719999999999</v>
      </c>
      <c r="D258">
        <v>1174.181</v>
      </c>
      <c r="E258">
        <v>-0.59099999999999997</v>
      </c>
      <c r="F258">
        <v>31.66</v>
      </c>
    </row>
    <row r="259" spans="1:6" hidden="1" x14ac:dyDescent="0.25">
      <c r="A259" s="6" t="s">
        <v>130</v>
      </c>
      <c r="B259" s="6" t="s">
        <v>61</v>
      </c>
      <c r="C259">
        <v>1175.693</v>
      </c>
      <c r="D259">
        <v>1175.201</v>
      </c>
      <c r="E259">
        <v>-0.49199999999999999</v>
      </c>
      <c r="F259">
        <v>26.36</v>
      </c>
    </row>
    <row r="260" spans="1:6" hidden="1" x14ac:dyDescent="0.25">
      <c r="A260" s="6" t="s">
        <v>130</v>
      </c>
      <c r="B260" s="6" t="s">
        <v>68</v>
      </c>
      <c r="C260">
        <v>1176.6010000000001</v>
      </c>
      <c r="D260">
        <v>1176.1590000000001</v>
      </c>
      <c r="E260">
        <v>-0.442</v>
      </c>
      <c r="F260">
        <v>23.68</v>
      </c>
    </row>
    <row r="261" spans="1:6" hidden="1" x14ac:dyDescent="0.25">
      <c r="A261" s="6" t="s">
        <v>131</v>
      </c>
      <c r="B261" s="6" t="s">
        <v>58</v>
      </c>
      <c r="C261">
        <v>6211.5609999999997</v>
      </c>
      <c r="D261">
        <v>6298.9470000000001</v>
      </c>
      <c r="E261">
        <v>87.385999999999996</v>
      </c>
      <c r="F261">
        <v>4369.3</v>
      </c>
    </row>
    <row r="262" spans="1:6" hidden="1" x14ac:dyDescent="0.25">
      <c r="A262" s="6" t="s">
        <v>131</v>
      </c>
      <c r="B262" s="6" t="s">
        <v>59</v>
      </c>
      <c r="C262">
        <v>6244</v>
      </c>
      <c r="D262">
        <v>6331.924</v>
      </c>
      <c r="E262">
        <v>87.924000000000007</v>
      </c>
      <c r="F262">
        <v>4396.2</v>
      </c>
    </row>
    <row r="263" spans="1:6" hidden="1" x14ac:dyDescent="0.25">
      <c r="A263" s="6" t="s">
        <v>131</v>
      </c>
      <c r="B263" s="6" t="s">
        <v>60</v>
      </c>
      <c r="C263">
        <v>6281.2860000000001</v>
      </c>
      <c r="D263">
        <v>6369.4560000000001</v>
      </c>
      <c r="E263">
        <v>88.17</v>
      </c>
      <c r="F263">
        <v>4408.5</v>
      </c>
    </row>
    <row r="264" spans="1:6" hidden="1" x14ac:dyDescent="0.25">
      <c r="A264" s="6" t="s">
        <v>131</v>
      </c>
      <c r="B264" s="6" t="s">
        <v>61</v>
      </c>
      <c r="C264">
        <v>6325.4089999999997</v>
      </c>
      <c r="D264">
        <v>6414.5630000000001</v>
      </c>
      <c r="E264">
        <v>89.153999999999996</v>
      </c>
      <c r="F264">
        <v>4457.7</v>
      </c>
    </row>
    <row r="265" spans="1:6" hidden="1" x14ac:dyDescent="0.25">
      <c r="A265" s="6" t="s">
        <v>131</v>
      </c>
      <c r="B265" s="6" t="s">
        <v>68</v>
      </c>
      <c r="C265">
        <v>6368.8019999999997</v>
      </c>
      <c r="D265">
        <v>6458.8670000000002</v>
      </c>
      <c r="E265">
        <v>90.064999999999998</v>
      </c>
      <c r="F265">
        <v>4503.25</v>
      </c>
    </row>
    <row r="266" spans="1:6" hidden="1" x14ac:dyDescent="0.25">
      <c r="A266" s="6" t="s">
        <v>132</v>
      </c>
      <c r="B266" s="6" t="s">
        <v>59</v>
      </c>
      <c r="C266">
        <v>0.24</v>
      </c>
      <c r="D266">
        <v>0.22</v>
      </c>
      <c r="E266">
        <v>-0.02</v>
      </c>
      <c r="F266">
        <v>0.01</v>
      </c>
    </row>
    <row r="267" spans="1:6" hidden="1" x14ac:dyDescent="0.25">
      <c r="A267" s="6" t="s">
        <v>132</v>
      </c>
      <c r="B267" s="6" t="s">
        <v>60</v>
      </c>
      <c r="C267">
        <v>0.26</v>
      </c>
      <c r="D267">
        <v>0.26</v>
      </c>
      <c r="E267">
        <v>0</v>
      </c>
      <c r="F267">
        <v>0</v>
      </c>
    </row>
    <row r="268" spans="1:6" hidden="1" x14ac:dyDescent="0.25">
      <c r="A268" s="6" t="s">
        <v>132</v>
      </c>
      <c r="B268" s="6" t="s">
        <v>61</v>
      </c>
      <c r="C268">
        <v>0.46</v>
      </c>
      <c r="D268">
        <v>0.44</v>
      </c>
      <c r="E268">
        <v>-0.02</v>
      </c>
      <c r="F268">
        <v>0.01</v>
      </c>
    </row>
    <row r="269" spans="1:6" hidden="1" x14ac:dyDescent="0.25">
      <c r="A269" s="6" t="s">
        <v>132</v>
      </c>
      <c r="B269" s="6" t="s">
        <v>68</v>
      </c>
      <c r="C269">
        <v>0.48</v>
      </c>
      <c r="D269">
        <v>0.46</v>
      </c>
      <c r="E269">
        <v>-0.02</v>
      </c>
      <c r="F269">
        <v>0.01</v>
      </c>
    </row>
    <row r="270" spans="1:6" hidden="1" x14ac:dyDescent="0.25">
      <c r="A270" s="6" t="s">
        <v>132</v>
      </c>
      <c r="B270" s="6" t="s">
        <v>69</v>
      </c>
      <c r="C270">
        <v>0.51</v>
      </c>
      <c r="D270">
        <v>0.47</v>
      </c>
      <c r="E270">
        <v>-0.04</v>
      </c>
      <c r="F270">
        <v>0.02</v>
      </c>
    </row>
    <row r="271" spans="1:6" hidden="1" x14ac:dyDescent="0.25">
      <c r="A271" s="6" t="s">
        <v>132</v>
      </c>
      <c r="B271" s="6" t="s">
        <v>70</v>
      </c>
      <c r="C271">
        <v>0.53</v>
      </c>
      <c r="D271">
        <v>0.5</v>
      </c>
      <c r="E271">
        <v>-0.03</v>
      </c>
      <c r="F271">
        <v>0.01</v>
      </c>
    </row>
    <row r="272" spans="1:6" hidden="1" x14ac:dyDescent="0.25">
      <c r="A272" s="6" t="s">
        <v>132</v>
      </c>
      <c r="B272" s="6" t="s">
        <v>71</v>
      </c>
      <c r="C272">
        <v>0.56000000000000005</v>
      </c>
      <c r="D272">
        <v>0.52</v>
      </c>
      <c r="E272">
        <v>-0.04</v>
      </c>
      <c r="F272">
        <v>0.02</v>
      </c>
    </row>
    <row r="273" spans="1:6" hidden="1" x14ac:dyDescent="0.25">
      <c r="A273" s="6" t="s">
        <v>132</v>
      </c>
      <c r="B273" s="6" t="s">
        <v>103</v>
      </c>
      <c r="C273">
        <v>0.61</v>
      </c>
      <c r="D273">
        <v>0.57999999999999996</v>
      </c>
      <c r="E273">
        <v>-0.03</v>
      </c>
      <c r="F273">
        <v>0.01</v>
      </c>
    </row>
    <row r="274" spans="1:6" hidden="1" x14ac:dyDescent="0.25">
      <c r="A274" s="6" t="s">
        <v>132</v>
      </c>
      <c r="B274" s="6" t="s">
        <v>77</v>
      </c>
      <c r="C274">
        <v>0.6</v>
      </c>
      <c r="D274">
        <v>0.56999999999999995</v>
      </c>
      <c r="E274">
        <v>-0.03</v>
      </c>
      <c r="F274">
        <v>0.01</v>
      </c>
    </row>
    <row r="275" spans="1:6" hidden="1" x14ac:dyDescent="0.25">
      <c r="A275" s="6" t="s">
        <v>132</v>
      </c>
      <c r="B275" s="6" t="s">
        <v>89</v>
      </c>
      <c r="C275">
        <v>0.66</v>
      </c>
      <c r="D275">
        <v>0.63</v>
      </c>
      <c r="E275">
        <v>-0.03</v>
      </c>
      <c r="F275">
        <v>0.01</v>
      </c>
    </row>
    <row r="276" spans="1:6" hidden="1" x14ac:dyDescent="0.25">
      <c r="A276" s="6" t="s">
        <v>132</v>
      </c>
      <c r="B276" s="6" t="s">
        <v>78</v>
      </c>
      <c r="C276">
        <v>0.65</v>
      </c>
      <c r="D276">
        <v>0.62</v>
      </c>
      <c r="E276">
        <v>-0.03</v>
      </c>
      <c r="F276">
        <v>0.01</v>
      </c>
    </row>
    <row r="277" spans="1:6" hidden="1" x14ac:dyDescent="0.25">
      <c r="A277" s="6" t="s">
        <v>132</v>
      </c>
      <c r="B277" s="6" t="s">
        <v>72</v>
      </c>
      <c r="C277">
        <v>0.65</v>
      </c>
      <c r="D277">
        <v>0.62</v>
      </c>
      <c r="E277">
        <v>-0.03</v>
      </c>
      <c r="F277">
        <v>0.01</v>
      </c>
    </row>
    <row r="278" spans="1:6" hidden="1" x14ac:dyDescent="0.25">
      <c r="A278" s="6" t="s">
        <v>132</v>
      </c>
      <c r="B278" s="6" t="s">
        <v>90</v>
      </c>
      <c r="C278">
        <v>0.7</v>
      </c>
      <c r="D278">
        <v>0.66</v>
      </c>
      <c r="E278">
        <v>-0.04</v>
      </c>
      <c r="F278">
        <v>0.02</v>
      </c>
    </row>
    <row r="279" spans="1:6" hidden="1" x14ac:dyDescent="0.25">
      <c r="A279" s="6" t="s">
        <v>132</v>
      </c>
      <c r="B279" s="6" t="s">
        <v>104</v>
      </c>
      <c r="C279">
        <v>0.74</v>
      </c>
      <c r="D279">
        <v>0.69</v>
      </c>
      <c r="E279">
        <v>-0.05</v>
      </c>
      <c r="F279">
        <v>0.02</v>
      </c>
    </row>
    <row r="280" spans="1:6" hidden="1" x14ac:dyDescent="0.25">
      <c r="A280" s="6" t="s">
        <v>132</v>
      </c>
      <c r="B280" s="6" t="s">
        <v>105</v>
      </c>
      <c r="C280">
        <v>0.78</v>
      </c>
      <c r="D280">
        <v>0.74</v>
      </c>
      <c r="E280">
        <v>-0.04</v>
      </c>
      <c r="F280">
        <v>0.02</v>
      </c>
    </row>
    <row r="281" spans="1:6" hidden="1" x14ac:dyDescent="0.25">
      <c r="A281" s="6" t="s">
        <v>132</v>
      </c>
      <c r="B281" s="6" t="s">
        <v>106</v>
      </c>
      <c r="C281">
        <v>0.84</v>
      </c>
      <c r="D281">
        <v>0.8</v>
      </c>
      <c r="E281">
        <v>-0.04</v>
      </c>
      <c r="F281">
        <v>0.02</v>
      </c>
    </row>
    <row r="282" spans="1:6" hidden="1" x14ac:dyDescent="0.25">
      <c r="A282" s="6" t="s">
        <v>132</v>
      </c>
      <c r="B282" s="6" t="s">
        <v>107</v>
      </c>
      <c r="C282">
        <v>0.93</v>
      </c>
      <c r="D282">
        <v>0.9</v>
      </c>
      <c r="E282">
        <v>-0.03</v>
      </c>
      <c r="F282">
        <v>0.01</v>
      </c>
    </row>
    <row r="283" spans="1:6" hidden="1" x14ac:dyDescent="0.25">
      <c r="A283" s="6" t="s">
        <v>132</v>
      </c>
      <c r="B283" s="6" t="s">
        <v>108</v>
      </c>
      <c r="C283">
        <v>0.97</v>
      </c>
      <c r="D283">
        <v>0.94</v>
      </c>
      <c r="E283">
        <v>-0.03</v>
      </c>
      <c r="F283">
        <v>0.01</v>
      </c>
    </row>
    <row r="284" spans="1:6" hidden="1" x14ac:dyDescent="0.25">
      <c r="A284" s="6" t="s">
        <v>132</v>
      </c>
      <c r="B284" s="6" t="s">
        <v>109</v>
      </c>
      <c r="C284">
        <v>1.04</v>
      </c>
      <c r="D284">
        <v>1.01</v>
      </c>
      <c r="E284">
        <v>-0.03</v>
      </c>
      <c r="F284">
        <v>0.01</v>
      </c>
    </row>
    <row r="285" spans="1:6" hidden="1" x14ac:dyDescent="0.25">
      <c r="A285" s="6" t="s">
        <v>132</v>
      </c>
      <c r="B285" s="6" t="s">
        <v>110</v>
      </c>
      <c r="C285">
        <v>1.07</v>
      </c>
      <c r="D285">
        <v>1.04</v>
      </c>
      <c r="E285">
        <v>-0.03</v>
      </c>
      <c r="F285">
        <v>0.01</v>
      </c>
    </row>
    <row r="286" spans="1:6" hidden="1" x14ac:dyDescent="0.25">
      <c r="A286" s="6" t="s">
        <v>132</v>
      </c>
      <c r="B286" s="6" t="s">
        <v>111</v>
      </c>
      <c r="C286">
        <v>1.1499999999999999</v>
      </c>
      <c r="D286">
        <v>1.1200000000000001</v>
      </c>
      <c r="E286">
        <v>-0.03</v>
      </c>
      <c r="F286">
        <v>0.01</v>
      </c>
    </row>
    <row r="287" spans="1:6" hidden="1" x14ac:dyDescent="0.25">
      <c r="A287" s="6" t="s">
        <v>132</v>
      </c>
      <c r="B287" s="6" t="s">
        <v>112</v>
      </c>
      <c r="C287">
        <v>1.2</v>
      </c>
      <c r="D287">
        <v>1.17</v>
      </c>
      <c r="E287">
        <v>-0.03</v>
      </c>
      <c r="F287">
        <v>0.01</v>
      </c>
    </row>
    <row r="288" spans="1:6" hidden="1" x14ac:dyDescent="0.25">
      <c r="A288" s="6" t="s">
        <v>132</v>
      </c>
      <c r="B288" s="6" t="s">
        <v>113</v>
      </c>
      <c r="C288">
        <v>1.25</v>
      </c>
      <c r="D288">
        <v>1.22</v>
      </c>
      <c r="E288">
        <v>-0.03</v>
      </c>
      <c r="F288">
        <v>0.01</v>
      </c>
    </row>
    <row r="289" spans="1:6" hidden="1" x14ac:dyDescent="0.25">
      <c r="A289" s="6" t="s">
        <v>132</v>
      </c>
      <c r="B289" s="6" t="s">
        <v>114</v>
      </c>
      <c r="C289">
        <v>1.29</v>
      </c>
      <c r="D289">
        <v>1.27</v>
      </c>
      <c r="E289">
        <v>-0.02</v>
      </c>
      <c r="F289">
        <v>0.01</v>
      </c>
    </row>
    <row r="290" spans="1:6" hidden="1" x14ac:dyDescent="0.25">
      <c r="A290" s="6" t="s">
        <v>132</v>
      </c>
      <c r="B290" s="6" t="s">
        <v>115</v>
      </c>
      <c r="C290">
        <v>1.38</v>
      </c>
      <c r="D290">
        <v>1.36</v>
      </c>
      <c r="E290">
        <v>-0.02</v>
      </c>
      <c r="F290">
        <v>0.01</v>
      </c>
    </row>
    <row r="291" spans="1:6" hidden="1" x14ac:dyDescent="0.25">
      <c r="A291" s="6" t="s">
        <v>132</v>
      </c>
      <c r="B291" s="6" t="s">
        <v>116</v>
      </c>
      <c r="C291">
        <v>1.38</v>
      </c>
      <c r="D291">
        <v>1.36</v>
      </c>
      <c r="E291">
        <v>-0.02</v>
      </c>
      <c r="F291">
        <v>0.01</v>
      </c>
    </row>
    <row r="292" spans="1:6" hidden="1" x14ac:dyDescent="0.25">
      <c r="A292" s="6" t="s">
        <v>132</v>
      </c>
      <c r="B292" s="6" t="s">
        <v>117</v>
      </c>
      <c r="C292">
        <v>1.44</v>
      </c>
      <c r="D292">
        <v>1.43</v>
      </c>
      <c r="E292">
        <v>-0.01</v>
      </c>
      <c r="F292">
        <v>0</v>
      </c>
    </row>
    <row r="293" spans="1:6" hidden="1" x14ac:dyDescent="0.25">
      <c r="A293" s="6" t="s">
        <v>132</v>
      </c>
      <c r="B293" s="6" t="s">
        <v>118</v>
      </c>
      <c r="C293">
        <v>1.55</v>
      </c>
      <c r="D293">
        <v>1.55</v>
      </c>
      <c r="E293">
        <v>0</v>
      </c>
      <c r="F293">
        <v>0</v>
      </c>
    </row>
    <row r="294" spans="1:6" hidden="1" x14ac:dyDescent="0.25">
      <c r="A294" s="6" t="s">
        <v>132</v>
      </c>
      <c r="B294" s="6" t="s">
        <v>119</v>
      </c>
      <c r="C294">
        <v>1.71</v>
      </c>
      <c r="D294">
        <v>1.7</v>
      </c>
      <c r="E294">
        <v>-0.01</v>
      </c>
      <c r="F294">
        <v>0</v>
      </c>
    </row>
    <row r="295" spans="1:6" hidden="1" x14ac:dyDescent="0.25">
      <c r="A295" s="6" t="s">
        <v>132</v>
      </c>
      <c r="B295" s="6" t="s">
        <v>120</v>
      </c>
      <c r="C295">
        <v>1.82</v>
      </c>
      <c r="D295">
        <v>1.81</v>
      </c>
      <c r="E295">
        <v>-0.01</v>
      </c>
      <c r="F295">
        <v>0</v>
      </c>
    </row>
    <row r="296" spans="1:6" hidden="1" x14ac:dyDescent="0.25">
      <c r="A296" s="6" t="s">
        <v>132</v>
      </c>
      <c r="B296" s="6" t="s">
        <v>121</v>
      </c>
      <c r="C296">
        <v>1.95</v>
      </c>
      <c r="D296">
        <v>1.94</v>
      </c>
      <c r="E296">
        <v>-0.01</v>
      </c>
      <c r="F296">
        <v>0</v>
      </c>
    </row>
    <row r="297" spans="1:6" hidden="1" x14ac:dyDescent="0.25">
      <c r="A297" s="6" t="s">
        <v>132</v>
      </c>
      <c r="B297" s="6" t="s">
        <v>122</v>
      </c>
      <c r="C297">
        <v>2.02</v>
      </c>
      <c r="D297">
        <v>2.0099999999999998</v>
      </c>
      <c r="E297">
        <v>-0.01</v>
      </c>
      <c r="F297">
        <v>0</v>
      </c>
    </row>
    <row r="298" spans="1:6" hidden="1" x14ac:dyDescent="0.25">
      <c r="A298" s="6" t="s">
        <v>132</v>
      </c>
      <c r="B298" s="6" t="s">
        <v>123</v>
      </c>
      <c r="C298">
        <v>2.38</v>
      </c>
      <c r="D298">
        <v>2.37</v>
      </c>
      <c r="E298">
        <v>-0.01</v>
      </c>
      <c r="F298">
        <v>0</v>
      </c>
    </row>
    <row r="299" spans="1:6" hidden="1" x14ac:dyDescent="0.25">
      <c r="A299" s="6" t="s">
        <v>132</v>
      </c>
      <c r="B299" s="6" t="s">
        <v>124</v>
      </c>
      <c r="C299">
        <v>2.73</v>
      </c>
      <c r="D299">
        <v>2.72</v>
      </c>
      <c r="E299">
        <v>-0.01</v>
      </c>
      <c r="F299">
        <v>0</v>
      </c>
    </row>
    <row r="300" spans="1:6" hidden="1" x14ac:dyDescent="0.25">
      <c r="A300" s="6" t="s">
        <v>132</v>
      </c>
      <c r="B300" s="6" t="s">
        <v>125</v>
      </c>
      <c r="C300">
        <v>2.9</v>
      </c>
      <c r="D300">
        <v>2.89</v>
      </c>
      <c r="E300">
        <v>-0.01</v>
      </c>
      <c r="F300">
        <v>0</v>
      </c>
    </row>
    <row r="301" spans="1:6" hidden="1" x14ac:dyDescent="0.25">
      <c r="A301" s="6" t="s">
        <v>133</v>
      </c>
      <c r="B301" s="6" t="s">
        <v>59</v>
      </c>
      <c r="C301">
        <v>0.24</v>
      </c>
      <c r="D301">
        <v>0.22</v>
      </c>
      <c r="E301">
        <v>-0.02</v>
      </c>
      <c r="F301">
        <v>0.01</v>
      </c>
    </row>
    <row r="302" spans="1:6" hidden="1" x14ac:dyDescent="0.25">
      <c r="A302" s="6" t="s">
        <v>133</v>
      </c>
      <c r="B302" s="6" t="s">
        <v>60</v>
      </c>
      <c r="C302">
        <v>0.26</v>
      </c>
      <c r="D302">
        <v>0.26</v>
      </c>
      <c r="E302">
        <v>0</v>
      </c>
      <c r="F302">
        <v>0</v>
      </c>
    </row>
    <row r="303" spans="1:6" hidden="1" x14ac:dyDescent="0.25">
      <c r="A303" s="6" t="s">
        <v>133</v>
      </c>
      <c r="B303" s="6" t="s">
        <v>61</v>
      </c>
      <c r="C303">
        <v>0.46</v>
      </c>
      <c r="D303">
        <v>0.44</v>
      </c>
      <c r="E303">
        <v>-0.02</v>
      </c>
      <c r="F303">
        <v>0.01</v>
      </c>
    </row>
    <row r="304" spans="1:6" hidden="1" x14ac:dyDescent="0.25">
      <c r="A304" s="6" t="s">
        <v>133</v>
      </c>
      <c r="B304" s="6" t="s">
        <v>68</v>
      </c>
      <c r="C304">
        <v>0.48</v>
      </c>
      <c r="D304">
        <v>0.46</v>
      </c>
      <c r="E304">
        <v>-0.02</v>
      </c>
      <c r="F304">
        <v>0.01</v>
      </c>
    </row>
    <row r="305" spans="1:6" hidden="1" x14ac:dyDescent="0.25">
      <c r="A305" s="6" t="s">
        <v>133</v>
      </c>
      <c r="B305" s="6" t="s">
        <v>69</v>
      </c>
      <c r="C305">
        <v>0.51</v>
      </c>
      <c r="D305">
        <v>0.47</v>
      </c>
      <c r="E305">
        <v>-0.04</v>
      </c>
      <c r="F305">
        <v>0.02</v>
      </c>
    </row>
    <row r="306" spans="1:6" hidden="1" x14ac:dyDescent="0.25">
      <c r="A306" s="6" t="s">
        <v>133</v>
      </c>
      <c r="B306" s="6" t="s">
        <v>70</v>
      </c>
      <c r="C306">
        <v>0.53</v>
      </c>
      <c r="D306">
        <v>0.5</v>
      </c>
      <c r="E306">
        <v>-0.03</v>
      </c>
      <c r="F306">
        <v>0.01</v>
      </c>
    </row>
    <row r="307" spans="1:6" hidden="1" x14ac:dyDescent="0.25">
      <c r="A307" s="6" t="s">
        <v>133</v>
      </c>
      <c r="B307" s="6" t="s">
        <v>71</v>
      </c>
      <c r="C307">
        <v>0.56000000000000005</v>
      </c>
      <c r="D307">
        <v>0.52</v>
      </c>
      <c r="E307">
        <v>-0.04</v>
      </c>
      <c r="F307">
        <v>0.02</v>
      </c>
    </row>
    <row r="308" spans="1:6" hidden="1" x14ac:dyDescent="0.25">
      <c r="A308" s="6" t="s">
        <v>133</v>
      </c>
      <c r="B308" s="6" t="s">
        <v>103</v>
      </c>
      <c r="C308">
        <v>0.61</v>
      </c>
      <c r="D308">
        <v>0.57999999999999996</v>
      </c>
      <c r="E308">
        <v>-0.03</v>
      </c>
      <c r="F308">
        <v>0.01</v>
      </c>
    </row>
    <row r="309" spans="1:6" hidden="1" x14ac:dyDescent="0.25">
      <c r="A309" s="6" t="s">
        <v>133</v>
      </c>
      <c r="B309" s="6" t="s">
        <v>77</v>
      </c>
      <c r="C309">
        <v>0.6</v>
      </c>
      <c r="D309">
        <v>0.56999999999999995</v>
      </c>
      <c r="E309">
        <v>-0.03</v>
      </c>
      <c r="F309">
        <v>0.01</v>
      </c>
    </row>
    <row r="310" spans="1:6" hidden="1" x14ac:dyDescent="0.25">
      <c r="A310" s="6" t="s">
        <v>133</v>
      </c>
      <c r="B310" s="6" t="s">
        <v>89</v>
      </c>
      <c r="C310">
        <v>0.66</v>
      </c>
      <c r="D310">
        <v>0.63</v>
      </c>
      <c r="E310">
        <v>-0.03</v>
      </c>
      <c r="F310">
        <v>0.01</v>
      </c>
    </row>
    <row r="311" spans="1:6" hidden="1" x14ac:dyDescent="0.25">
      <c r="A311" s="6" t="s">
        <v>133</v>
      </c>
      <c r="B311" s="6" t="s">
        <v>78</v>
      </c>
      <c r="C311">
        <v>0.65</v>
      </c>
      <c r="D311">
        <v>0.62</v>
      </c>
      <c r="E311">
        <v>-0.03</v>
      </c>
      <c r="F311">
        <v>0.01</v>
      </c>
    </row>
    <row r="312" spans="1:6" hidden="1" x14ac:dyDescent="0.25">
      <c r="A312" s="6" t="s">
        <v>133</v>
      </c>
      <c r="B312" s="6" t="s">
        <v>72</v>
      </c>
      <c r="C312">
        <v>0.65</v>
      </c>
      <c r="D312">
        <v>0.62</v>
      </c>
      <c r="E312">
        <v>-0.03</v>
      </c>
      <c r="F312">
        <v>0.01</v>
      </c>
    </row>
    <row r="313" spans="1:6" hidden="1" x14ac:dyDescent="0.25">
      <c r="A313" s="6" t="s">
        <v>133</v>
      </c>
      <c r="B313" s="6" t="s">
        <v>90</v>
      </c>
      <c r="C313">
        <v>0.7</v>
      </c>
      <c r="D313">
        <v>0.66</v>
      </c>
      <c r="E313">
        <v>-0.04</v>
      </c>
      <c r="F313">
        <v>0.02</v>
      </c>
    </row>
    <row r="314" spans="1:6" hidden="1" x14ac:dyDescent="0.25">
      <c r="A314" s="6" t="s">
        <v>133</v>
      </c>
      <c r="B314" s="6" t="s">
        <v>104</v>
      </c>
      <c r="C314">
        <v>0.74</v>
      </c>
      <c r="D314">
        <v>0.69</v>
      </c>
      <c r="E314">
        <v>-0.05</v>
      </c>
      <c r="F314">
        <v>0.02</v>
      </c>
    </row>
    <row r="315" spans="1:6" hidden="1" x14ac:dyDescent="0.25">
      <c r="A315" s="6" t="s">
        <v>133</v>
      </c>
      <c r="B315" s="6" t="s">
        <v>105</v>
      </c>
      <c r="C315">
        <v>0.78</v>
      </c>
      <c r="D315">
        <v>0.74</v>
      </c>
      <c r="E315">
        <v>-0.04</v>
      </c>
      <c r="F315">
        <v>0.02</v>
      </c>
    </row>
    <row r="316" spans="1:6" hidden="1" x14ac:dyDescent="0.25">
      <c r="A316" s="6" t="s">
        <v>133</v>
      </c>
      <c r="B316" s="6" t="s">
        <v>106</v>
      </c>
      <c r="C316">
        <v>0.84</v>
      </c>
      <c r="D316">
        <v>0.8</v>
      </c>
      <c r="E316">
        <v>-0.04</v>
      </c>
      <c r="F316">
        <v>0.02</v>
      </c>
    </row>
    <row r="317" spans="1:6" hidden="1" x14ac:dyDescent="0.25">
      <c r="A317" s="6" t="s">
        <v>133</v>
      </c>
      <c r="B317" s="6" t="s">
        <v>107</v>
      </c>
      <c r="C317">
        <v>0.93</v>
      </c>
      <c r="D317">
        <v>0.9</v>
      </c>
      <c r="E317">
        <v>-0.03</v>
      </c>
      <c r="F317">
        <v>0.01</v>
      </c>
    </row>
    <row r="318" spans="1:6" hidden="1" x14ac:dyDescent="0.25">
      <c r="A318" s="6" t="s">
        <v>133</v>
      </c>
      <c r="B318" s="6" t="s">
        <v>108</v>
      </c>
      <c r="C318">
        <v>0.97</v>
      </c>
      <c r="D318">
        <v>0.94</v>
      </c>
      <c r="E318">
        <v>-0.03</v>
      </c>
      <c r="F318">
        <v>0.01</v>
      </c>
    </row>
    <row r="319" spans="1:6" hidden="1" x14ac:dyDescent="0.25">
      <c r="A319" s="6" t="s">
        <v>133</v>
      </c>
      <c r="B319" s="6" t="s">
        <v>109</v>
      </c>
      <c r="C319">
        <v>1.04</v>
      </c>
      <c r="D319">
        <v>1.01</v>
      </c>
      <c r="E319">
        <v>-0.03</v>
      </c>
      <c r="F319">
        <v>0.01</v>
      </c>
    </row>
    <row r="320" spans="1:6" hidden="1" x14ac:dyDescent="0.25">
      <c r="A320" s="6" t="s">
        <v>133</v>
      </c>
      <c r="B320" s="6" t="s">
        <v>110</v>
      </c>
      <c r="C320">
        <v>1.07</v>
      </c>
      <c r="D320">
        <v>1.04</v>
      </c>
      <c r="E320">
        <v>-0.03</v>
      </c>
      <c r="F320">
        <v>0.01</v>
      </c>
    </row>
    <row r="321" spans="1:6" hidden="1" x14ac:dyDescent="0.25">
      <c r="A321" s="6" t="s">
        <v>133</v>
      </c>
      <c r="B321" s="6" t="s">
        <v>111</v>
      </c>
      <c r="C321">
        <v>1.1499999999999999</v>
      </c>
      <c r="D321">
        <v>1.1200000000000001</v>
      </c>
      <c r="E321">
        <v>-0.03</v>
      </c>
      <c r="F321">
        <v>0.01</v>
      </c>
    </row>
    <row r="322" spans="1:6" hidden="1" x14ac:dyDescent="0.25">
      <c r="A322" s="6" t="s">
        <v>133</v>
      </c>
      <c r="B322" s="6" t="s">
        <v>112</v>
      </c>
      <c r="C322">
        <v>1.2</v>
      </c>
      <c r="D322">
        <v>1.17</v>
      </c>
      <c r="E322">
        <v>-0.03</v>
      </c>
      <c r="F322">
        <v>0.01</v>
      </c>
    </row>
    <row r="323" spans="1:6" hidden="1" x14ac:dyDescent="0.25">
      <c r="A323" s="6" t="s">
        <v>133</v>
      </c>
      <c r="B323" s="6" t="s">
        <v>113</v>
      </c>
      <c r="C323">
        <v>1.25</v>
      </c>
      <c r="D323">
        <v>1.22</v>
      </c>
      <c r="E323">
        <v>-0.03</v>
      </c>
      <c r="F323">
        <v>0.01</v>
      </c>
    </row>
    <row r="324" spans="1:6" hidden="1" x14ac:dyDescent="0.25">
      <c r="A324" s="6" t="s">
        <v>133</v>
      </c>
      <c r="B324" s="6" t="s">
        <v>114</v>
      </c>
      <c r="C324">
        <v>1.29</v>
      </c>
      <c r="D324">
        <v>1.27</v>
      </c>
      <c r="E324">
        <v>-0.02</v>
      </c>
      <c r="F324">
        <v>0.01</v>
      </c>
    </row>
    <row r="325" spans="1:6" hidden="1" x14ac:dyDescent="0.25">
      <c r="A325" s="6" t="s">
        <v>133</v>
      </c>
      <c r="B325" s="6" t="s">
        <v>115</v>
      </c>
      <c r="C325">
        <v>1.38</v>
      </c>
      <c r="D325">
        <v>1.36</v>
      </c>
      <c r="E325">
        <v>-0.02</v>
      </c>
      <c r="F325">
        <v>0.01</v>
      </c>
    </row>
    <row r="326" spans="1:6" hidden="1" x14ac:dyDescent="0.25">
      <c r="A326" s="6" t="s">
        <v>133</v>
      </c>
      <c r="B326" s="6" t="s">
        <v>116</v>
      </c>
      <c r="C326">
        <v>1.38</v>
      </c>
      <c r="D326">
        <v>1.36</v>
      </c>
      <c r="E326">
        <v>-0.02</v>
      </c>
      <c r="F326">
        <v>0.01</v>
      </c>
    </row>
    <row r="327" spans="1:6" hidden="1" x14ac:dyDescent="0.25">
      <c r="A327" s="6" t="s">
        <v>133</v>
      </c>
      <c r="B327" s="6" t="s">
        <v>117</v>
      </c>
      <c r="C327">
        <v>1.44</v>
      </c>
      <c r="D327">
        <v>1.43</v>
      </c>
      <c r="E327">
        <v>-0.01</v>
      </c>
      <c r="F327">
        <v>0</v>
      </c>
    </row>
    <row r="328" spans="1:6" hidden="1" x14ac:dyDescent="0.25">
      <c r="A328" s="6" t="s">
        <v>133</v>
      </c>
      <c r="B328" s="6" t="s">
        <v>118</v>
      </c>
      <c r="C328">
        <v>1.55</v>
      </c>
      <c r="D328">
        <v>1.55</v>
      </c>
      <c r="E328">
        <v>0</v>
      </c>
      <c r="F328">
        <v>0</v>
      </c>
    </row>
    <row r="329" spans="1:6" hidden="1" x14ac:dyDescent="0.25">
      <c r="A329" s="6" t="s">
        <v>133</v>
      </c>
      <c r="B329" s="6" t="s">
        <v>119</v>
      </c>
      <c r="C329">
        <v>1.71</v>
      </c>
      <c r="D329">
        <v>1.7</v>
      </c>
      <c r="E329">
        <v>-0.01</v>
      </c>
      <c r="F329">
        <v>0</v>
      </c>
    </row>
    <row r="330" spans="1:6" hidden="1" x14ac:dyDescent="0.25">
      <c r="A330" s="6" t="s">
        <v>133</v>
      </c>
      <c r="B330" s="6" t="s">
        <v>120</v>
      </c>
      <c r="C330">
        <v>1.82</v>
      </c>
      <c r="D330">
        <v>1.81</v>
      </c>
      <c r="E330">
        <v>-0.01</v>
      </c>
      <c r="F330">
        <v>0</v>
      </c>
    </row>
    <row r="331" spans="1:6" hidden="1" x14ac:dyDescent="0.25">
      <c r="A331" s="6" t="s">
        <v>133</v>
      </c>
      <c r="B331" s="6" t="s">
        <v>121</v>
      </c>
      <c r="C331">
        <v>1.95</v>
      </c>
      <c r="D331">
        <v>1.94</v>
      </c>
      <c r="E331">
        <v>-0.01</v>
      </c>
      <c r="F331">
        <v>0</v>
      </c>
    </row>
    <row r="332" spans="1:6" hidden="1" x14ac:dyDescent="0.25">
      <c r="A332" s="6" t="s">
        <v>133</v>
      </c>
      <c r="B332" s="6" t="s">
        <v>122</v>
      </c>
      <c r="C332">
        <v>2.02</v>
      </c>
      <c r="D332">
        <v>2.0099999999999998</v>
      </c>
      <c r="E332">
        <v>-0.01</v>
      </c>
      <c r="F332">
        <v>0</v>
      </c>
    </row>
    <row r="333" spans="1:6" hidden="1" x14ac:dyDescent="0.25">
      <c r="A333" s="6" t="s">
        <v>133</v>
      </c>
      <c r="B333" s="6" t="s">
        <v>123</v>
      </c>
      <c r="C333">
        <v>2.38</v>
      </c>
      <c r="D333">
        <v>2.37</v>
      </c>
      <c r="E333">
        <v>-0.01</v>
      </c>
      <c r="F333">
        <v>0</v>
      </c>
    </row>
    <row r="334" spans="1:6" hidden="1" x14ac:dyDescent="0.25">
      <c r="A334" s="6" t="s">
        <v>133</v>
      </c>
      <c r="B334" s="6" t="s">
        <v>124</v>
      </c>
      <c r="C334">
        <v>2.73</v>
      </c>
      <c r="D334">
        <v>2.72</v>
      </c>
      <c r="E334">
        <v>-0.01</v>
      </c>
      <c r="F334">
        <v>0</v>
      </c>
    </row>
    <row r="335" spans="1:6" hidden="1" x14ac:dyDescent="0.25">
      <c r="A335" s="6" t="s">
        <v>133</v>
      </c>
      <c r="B335" s="6" t="s">
        <v>125</v>
      </c>
      <c r="C335">
        <v>2.9</v>
      </c>
      <c r="D335">
        <v>2.89</v>
      </c>
      <c r="E335">
        <v>-0.01</v>
      </c>
      <c r="F335">
        <v>0</v>
      </c>
    </row>
    <row r="336" spans="1:6" hidden="1" x14ac:dyDescent="0.25">
      <c r="A336" s="6" t="s">
        <v>134</v>
      </c>
      <c r="B336" s="6" t="s">
        <v>58</v>
      </c>
      <c r="C336">
        <v>7273.7809999999999</v>
      </c>
      <c r="D336">
        <v>7330.2129999999997</v>
      </c>
      <c r="E336">
        <v>56.432000000000002</v>
      </c>
      <c r="F336">
        <v>1975.12</v>
      </c>
    </row>
    <row r="337" spans="1:6" hidden="1" x14ac:dyDescent="0.25">
      <c r="A337" s="6" t="s">
        <v>134</v>
      </c>
      <c r="B337" s="6" t="s">
        <v>59</v>
      </c>
      <c r="C337">
        <v>7307.835</v>
      </c>
      <c r="D337">
        <v>7364.6310000000003</v>
      </c>
      <c r="E337">
        <v>56.795999999999999</v>
      </c>
      <c r="F337">
        <v>1987.86</v>
      </c>
    </row>
    <row r="338" spans="1:6" hidden="1" x14ac:dyDescent="0.25">
      <c r="A338" s="6" t="s">
        <v>134</v>
      </c>
      <c r="B338" s="6" t="s">
        <v>60</v>
      </c>
      <c r="C338">
        <v>7347.518</v>
      </c>
      <c r="D338">
        <v>7404.4539999999997</v>
      </c>
      <c r="E338">
        <v>56.936</v>
      </c>
      <c r="F338">
        <v>1992.76</v>
      </c>
    </row>
    <row r="339" spans="1:6" hidden="1" x14ac:dyDescent="0.25">
      <c r="A339" s="6" t="s">
        <v>134</v>
      </c>
      <c r="B339" s="6" t="s">
        <v>61</v>
      </c>
      <c r="C339">
        <v>7394.8490000000002</v>
      </c>
      <c r="D339">
        <v>7452.4279999999999</v>
      </c>
      <c r="E339">
        <v>57.579000000000001</v>
      </c>
      <c r="F339">
        <v>2015.26</v>
      </c>
    </row>
    <row r="340" spans="1:6" hidden="1" x14ac:dyDescent="0.25">
      <c r="A340" s="6" t="s">
        <v>134</v>
      </c>
      <c r="B340" s="6" t="s">
        <v>68</v>
      </c>
      <c r="C340">
        <v>7441.7920000000004</v>
      </c>
      <c r="D340">
        <v>7500.0829999999996</v>
      </c>
      <c r="E340">
        <v>58.290999999999997</v>
      </c>
      <c r="F340">
        <v>2040.18</v>
      </c>
    </row>
    <row r="341" spans="1:6" hidden="1" x14ac:dyDescent="0.25">
      <c r="A341" s="6" t="s">
        <v>135</v>
      </c>
      <c r="B341" s="6" t="s">
        <v>58</v>
      </c>
      <c r="C341">
        <v>1374.0619999999999</v>
      </c>
      <c r="D341">
        <v>1364.6469999999999</v>
      </c>
      <c r="E341">
        <v>-9.4149999999999991</v>
      </c>
      <c r="F341">
        <v>504.43</v>
      </c>
    </row>
    <row r="342" spans="1:6" hidden="1" x14ac:dyDescent="0.25">
      <c r="A342" s="6" t="s">
        <v>135</v>
      </c>
      <c r="B342" s="6" t="s">
        <v>59</v>
      </c>
      <c r="C342">
        <v>1374.114</v>
      </c>
      <c r="D342">
        <v>1364.7049999999999</v>
      </c>
      <c r="E342">
        <v>-9.4090000000000007</v>
      </c>
      <c r="F342">
        <v>504.11</v>
      </c>
    </row>
    <row r="343" spans="1:6" hidden="1" x14ac:dyDescent="0.25">
      <c r="A343" s="6" t="s">
        <v>135</v>
      </c>
      <c r="B343" s="6" t="s">
        <v>60</v>
      </c>
      <c r="C343">
        <v>1374.1579999999999</v>
      </c>
      <c r="D343">
        <v>1364.749</v>
      </c>
      <c r="E343">
        <v>-9.4090000000000007</v>
      </c>
      <c r="F343">
        <v>504.11</v>
      </c>
    </row>
    <row r="344" spans="1:6" hidden="1" x14ac:dyDescent="0.25">
      <c r="A344" s="6" t="s">
        <v>135</v>
      </c>
      <c r="B344" s="6" t="s">
        <v>61</v>
      </c>
      <c r="C344">
        <v>1374.4349999999999</v>
      </c>
      <c r="D344">
        <v>1365.0039999999999</v>
      </c>
      <c r="E344">
        <v>-9.4309999999999992</v>
      </c>
      <c r="F344">
        <v>505.29</v>
      </c>
    </row>
    <row r="345" spans="1:6" hidden="1" x14ac:dyDescent="0.25">
      <c r="A345" s="6" t="s">
        <v>135</v>
      </c>
      <c r="B345" s="6" t="s">
        <v>68</v>
      </c>
      <c r="C345">
        <v>1374.6189999999999</v>
      </c>
      <c r="D345">
        <v>1365.2339999999999</v>
      </c>
      <c r="E345">
        <v>-9.3849999999999998</v>
      </c>
      <c r="F345">
        <v>502.82</v>
      </c>
    </row>
    <row r="346" spans="1:6" hidden="1" x14ac:dyDescent="0.25">
      <c r="A346" s="6" t="s">
        <v>136</v>
      </c>
      <c r="B346" s="6" t="s">
        <v>57</v>
      </c>
      <c r="C346">
        <v>24882</v>
      </c>
      <c r="D346">
        <v>24062</v>
      </c>
      <c r="E346">
        <v>-820</v>
      </c>
      <c r="F346">
        <v>533</v>
      </c>
    </row>
    <row r="347" spans="1:6" hidden="1" x14ac:dyDescent="0.25">
      <c r="A347" s="6" t="s">
        <v>136</v>
      </c>
      <c r="B347" s="6" t="s">
        <v>58</v>
      </c>
      <c r="C347">
        <v>24880</v>
      </c>
      <c r="D347">
        <v>24059</v>
      </c>
      <c r="E347">
        <v>-821</v>
      </c>
      <c r="F347">
        <v>533.65</v>
      </c>
    </row>
    <row r="348" spans="1:6" hidden="1" x14ac:dyDescent="0.25">
      <c r="A348" s="6" t="s">
        <v>137</v>
      </c>
      <c r="B348" s="6" t="s">
        <v>58</v>
      </c>
      <c r="C348">
        <v>33.6</v>
      </c>
      <c r="D348">
        <v>33.26</v>
      </c>
      <c r="E348">
        <v>-0.34</v>
      </c>
      <c r="F348">
        <v>0.34</v>
      </c>
    </row>
    <row r="349" spans="1:6" hidden="1" x14ac:dyDescent="0.25">
      <c r="A349" s="6" t="s">
        <v>137</v>
      </c>
      <c r="B349" s="6" t="s">
        <v>59</v>
      </c>
      <c r="C349">
        <v>33.79</v>
      </c>
      <c r="D349">
        <v>33.450000000000003</v>
      </c>
      <c r="E349">
        <v>-0.34</v>
      </c>
      <c r="F349">
        <v>0.34</v>
      </c>
    </row>
    <row r="350" spans="1:6" hidden="1" x14ac:dyDescent="0.25">
      <c r="A350" s="6" t="s">
        <v>137</v>
      </c>
      <c r="B350" s="6" t="s">
        <v>60</v>
      </c>
      <c r="C350">
        <v>33.97</v>
      </c>
      <c r="D350">
        <v>33.630000000000003</v>
      </c>
      <c r="E350">
        <v>-0.34</v>
      </c>
      <c r="F350">
        <v>0.34</v>
      </c>
    </row>
    <row r="351" spans="1:6" hidden="1" x14ac:dyDescent="0.25">
      <c r="A351" s="6" t="s">
        <v>138</v>
      </c>
      <c r="B351" s="6" t="s">
        <v>57</v>
      </c>
      <c r="C351">
        <v>222.45</v>
      </c>
      <c r="D351">
        <v>217.4</v>
      </c>
      <c r="E351">
        <v>-5.05</v>
      </c>
      <c r="F351">
        <v>2705.68</v>
      </c>
    </row>
    <row r="352" spans="1:6" hidden="1" x14ac:dyDescent="0.25">
      <c r="A352" s="6" t="s">
        <v>138</v>
      </c>
      <c r="B352" s="6" t="s">
        <v>60</v>
      </c>
      <c r="C352">
        <v>223.45</v>
      </c>
      <c r="D352">
        <v>219.75</v>
      </c>
      <c r="E352">
        <v>-3.7</v>
      </c>
      <c r="F352">
        <v>1982.38</v>
      </c>
    </row>
    <row r="353" spans="1:6" hidden="1" x14ac:dyDescent="0.25">
      <c r="A353" s="6" t="s">
        <v>138</v>
      </c>
      <c r="B353" s="6" t="s">
        <v>69</v>
      </c>
      <c r="C353">
        <v>227.5</v>
      </c>
      <c r="D353">
        <v>222.45</v>
      </c>
      <c r="E353">
        <v>-5.05</v>
      </c>
      <c r="F353">
        <v>2705.68</v>
      </c>
    </row>
    <row r="354" spans="1:6" hidden="1" x14ac:dyDescent="0.25">
      <c r="A354" s="6" t="s">
        <v>138</v>
      </c>
      <c r="B354" s="6" t="s">
        <v>71</v>
      </c>
      <c r="C354">
        <v>230.7</v>
      </c>
      <c r="D354">
        <v>225.65</v>
      </c>
      <c r="E354">
        <v>-5.05</v>
      </c>
      <c r="F354">
        <v>2705.68</v>
      </c>
    </row>
    <row r="355" spans="1:6" hidden="1" x14ac:dyDescent="0.25">
      <c r="A355" s="6" t="s">
        <v>138</v>
      </c>
      <c r="B355" s="6" t="s">
        <v>78</v>
      </c>
      <c r="C355">
        <v>226.7</v>
      </c>
      <c r="D355">
        <v>221.8</v>
      </c>
      <c r="E355">
        <v>-4.9000000000000004</v>
      </c>
      <c r="F355">
        <v>2625.32</v>
      </c>
    </row>
    <row r="356" spans="1:6" hidden="1" x14ac:dyDescent="0.25">
      <c r="A356" s="6" t="s">
        <v>138</v>
      </c>
      <c r="B356" s="6" t="s">
        <v>139</v>
      </c>
      <c r="C356">
        <v>227.35</v>
      </c>
      <c r="D356">
        <v>222.5</v>
      </c>
      <c r="E356">
        <v>-4.8499999999999996</v>
      </c>
      <c r="F356">
        <v>2598.5300000000002</v>
      </c>
    </row>
    <row r="357" spans="1:6" hidden="1" x14ac:dyDescent="0.25">
      <c r="A357" s="6" t="s">
        <v>140</v>
      </c>
      <c r="B357" s="6" t="s">
        <v>57</v>
      </c>
      <c r="C357">
        <v>79603</v>
      </c>
      <c r="D357">
        <v>74382</v>
      </c>
      <c r="E357">
        <v>-5221</v>
      </c>
      <c r="F357">
        <v>2805.37</v>
      </c>
    </row>
    <row r="358" spans="1:6" hidden="1" x14ac:dyDescent="0.25">
      <c r="A358" s="6" t="s">
        <v>140</v>
      </c>
      <c r="B358" s="6" t="s">
        <v>58</v>
      </c>
      <c r="C358">
        <v>81883</v>
      </c>
      <c r="D358">
        <v>76437</v>
      </c>
      <c r="E358">
        <v>-5446</v>
      </c>
      <c r="F358">
        <v>2926.27</v>
      </c>
    </row>
    <row r="359" spans="1:6" x14ac:dyDescent="0.25">
      <c r="A359" s="6" t="s">
        <v>141</v>
      </c>
      <c r="B359" s="6" t="s">
        <v>58</v>
      </c>
      <c r="C359">
        <v>111697</v>
      </c>
      <c r="D359">
        <v>109090</v>
      </c>
      <c r="E359">
        <v>-2607</v>
      </c>
      <c r="F359">
        <v>2607</v>
      </c>
    </row>
    <row r="360" spans="1:6" hidden="1" x14ac:dyDescent="0.25">
      <c r="A360" s="6" t="s">
        <v>141</v>
      </c>
      <c r="B360" s="6" t="s">
        <v>60</v>
      </c>
      <c r="C360">
        <v>112925</v>
      </c>
      <c r="D360">
        <v>110288</v>
      </c>
      <c r="E360">
        <v>-2637</v>
      </c>
      <c r="F360">
        <v>2637</v>
      </c>
    </row>
    <row r="361" spans="1:6" hidden="1" x14ac:dyDescent="0.25">
      <c r="A361" s="6" t="s">
        <v>141</v>
      </c>
      <c r="B361" s="6" t="s">
        <v>68</v>
      </c>
      <c r="C361">
        <v>114478</v>
      </c>
      <c r="D361">
        <v>111801</v>
      </c>
      <c r="E361">
        <v>-2677</v>
      </c>
      <c r="F361">
        <v>2677</v>
      </c>
    </row>
    <row r="362" spans="1:6" hidden="1" x14ac:dyDescent="0.25">
      <c r="A362" s="6" t="s">
        <v>141</v>
      </c>
      <c r="B362" s="6" t="s">
        <v>70</v>
      </c>
      <c r="C362">
        <v>115956</v>
      </c>
      <c r="D362">
        <v>113234</v>
      </c>
      <c r="E362">
        <v>-2722</v>
      </c>
      <c r="F362">
        <v>2722</v>
      </c>
    </row>
    <row r="363" spans="1:6" hidden="1" x14ac:dyDescent="0.25">
      <c r="A363" s="6" t="s">
        <v>141</v>
      </c>
      <c r="B363" s="6" t="s">
        <v>103</v>
      </c>
      <c r="C363">
        <v>117641</v>
      </c>
      <c r="D363">
        <v>114919</v>
      </c>
      <c r="E363">
        <v>-2722</v>
      </c>
      <c r="F363">
        <v>2722</v>
      </c>
    </row>
    <row r="364" spans="1:6" hidden="1" x14ac:dyDescent="0.25">
      <c r="A364" s="6" t="s">
        <v>141</v>
      </c>
      <c r="B364" s="6" t="s">
        <v>89</v>
      </c>
      <c r="C364">
        <v>119511</v>
      </c>
      <c r="D364">
        <v>116695</v>
      </c>
      <c r="E364">
        <v>-2816</v>
      </c>
      <c r="F364">
        <v>2816</v>
      </c>
    </row>
    <row r="365" spans="1:6" hidden="1" x14ac:dyDescent="0.25">
      <c r="A365" s="6" t="s">
        <v>141</v>
      </c>
      <c r="B365" s="6" t="s">
        <v>72</v>
      </c>
      <c r="C365">
        <v>121164</v>
      </c>
      <c r="D365">
        <v>118286</v>
      </c>
      <c r="E365">
        <v>-2878</v>
      </c>
      <c r="F365">
        <v>2878</v>
      </c>
    </row>
    <row r="366" spans="1:6" hidden="1" x14ac:dyDescent="0.25">
      <c r="A366" s="6" t="s">
        <v>141</v>
      </c>
      <c r="B366" s="6" t="s">
        <v>139</v>
      </c>
      <c r="C366">
        <v>122987</v>
      </c>
      <c r="D366">
        <v>120032</v>
      </c>
      <c r="E366">
        <v>-2955</v>
      </c>
      <c r="F366">
        <v>2955</v>
      </c>
    </row>
    <row r="367" spans="1:6" hidden="1" x14ac:dyDescent="0.25">
      <c r="A367" s="6" t="s">
        <v>141</v>
      </c>
      <c r="B367" s="6" t="s">
        <v>142</v>
      </c>
      <c r="C367">
        <v>125057</v>
      </c>
      <c r="D367">
        <v>122029</v>
      </c>
      <c r="E367">
        <v>-3028</v>
      </c>
      <c r="F367">
        <v>3028</v>
      </c>
    </row>
    <row r="368" spans="1:6" hidden="1" x14ac:dyDescent="0.25">
      <c r="A368" s="6" t="s">
        <v>141</v>
      </c>
      <c r="B368" s="6" t="s">
        <v>104</v>
      </c>
      <c r="C368">
        <v>126829</v>
      </c>
      <c r="D368">
        <v>123742</v>
      </c>
      <c r="E368">
        <v>-3087</v>
      </c>
      <c r="F368">
        <v>3087</v>
      </c>
    </row>
    <row r="369" spans="1:6" hidden="1" x14ac:dyDescent="0.25">
      <c r="A369" s="6" t="s">
        <v>141</v>
      </c>
      <c r="B369" s="6" t="s">
        <v>143</v>
      </c>
      <c r="C369">
        <v>128951</v>
      </c>
      <c r="D369">
        <v>125794</v>
      </c>
      <c r="E369">
        <v>-3157</v>
      </c>
      <c r="F369">
        <v>3157</v>
      </c>
    </row>
    <row r="370" spans="1:6" hidden="1" x14ac:dyDescent="0.25">
      <c r="A370" s="6" t="s">
        <v>141</v>
      </c>
      <c r="B370" s="6" t="s">
        <v>144</v>
      </c>
      <c r="C370">
        <v>131235</v>
      </c>
      <c r="D370">
        <v>128018</v>
      </c>
      <c r="E370">
        <v>-3217</v>
      </c>
      <c r="F370">
        <v>3217</v>
      </c>
    </row>
    <row r="371" spans="1:6" hidden="1" x14ac:dyDescent="0.25">
      <c r="A371" s="6" t="s">
        <v>141</v>
      </c>
      <c r="B371" s="6" t="s">
        <v>106</v>
      </c>
      <c r="C371">
        <v>133446</v>
      </c>
      <c r="D371">
        <v>130167</v>
      </c>
      <c r="E371">
        <v>-3279</v>
      </c>
      <c r="F371">
        <v>3279</v>
      </c>
    </row>
    <row r="372" spans="1:6" hidden="1" x14ac:dyDescent="0.25">
      <c r="A372" s="6" t="s">
        <v>145</v>
      </c>
      <c r="B372" s="6" t="s">
        <v>60</v>
      </c>
      <c r="C372">
        <v>30175</v>
      </c>
      <c r="D372">
        <v>29505</v>
      </c>
      <c r="E372">
        <v>-670</v>
      </c>
      <c r="F372">
        <v>1610.66</v>
      </c>
    </row>
    <row r="373" spans="1:6" hidden="1" x14ac:dyDescent="0.25">
      <c r="A373" s="6" t="s">
        <v>145</v>
      </c>
      <c r="B373" s="6" t="s">
        <v>69</v>
      </c>
      <c r="C373">
        <v>30125</v>
      </c>
      <c r="D373">
        <v>29455</v>
      </c>
      <c r="E373">
        <v>-670</v>
      </c>
      <c r="F373">
        <v>1610.66</v>
      </c>
    </row>
    <row r="374" spans="1:6" hidden="1" x14ac:dyDescent="0.25">
      <c r="A374" s="6" t="s">
        <v>146</v>
      </c>
      <c r="B374" s="6" t="s">
        <v>60</v>
      </c>
      <c r="C374">
        <v>4413.25</v>
      </c>
      <c r="D374">
        <v>4347</v>
      </c>
      <c r="E374">
        <v>-66.25</v>
      </c>
      <c r="F374">
        <v>17747.71</v>
      </c>
    </row>
    <row r="375" spans="1:6" hidden="1" x14ac:dyDescent="0.25">
      <c r="A375" s="6" t="s">
        <v>146</v>
      </c>
      <c r="B375" s="6" t="s">
        <v>69</v>
      </c>
      <c r="C375">
        <v>4417</v>
      </c>
      <c r="D375">
        <v>4346</v>
      </c>
      <c r="E375">
        <v>-71</v>
      </c>
      <c r="F375">
        <v>19020.189999999999</v>
      </c>
    </row>
    <row r="376" spans="1:6" hidden="1" x14ac:dyDescent="0.25">
      <c r="A376" s="6" t="s">
        <v>146</v>
      </c>
      <c r="B376" s="6" t="s">
        <v>103</v>
      </c>
      <c r="C376">
        <v>4396.25</v>
      </c>
      <c r="D376">
        <v>4329.75</v>
      </c>
      <c r="E376">
        <v>-66.5</v>
      </c>
      <c r="F376">
        <v>17814.68</v>
      </c>
    </row>
    <row r="377" spans="1:6" hidden="1" x14ac:dyDescent="0.25">
      <c r="A377" s="6" t="s">
        <v>147</v>
      </c>
      <c r="B377" s="6" t="s">
        <v>58</v>
      </c>
      <c r="C377">
        <v>109905.2</v>
      </c>
      <c r="D377">
        <v>109357.04</v>
      </c>
      <c r="E377">
        <v>-548.16</v>
      </c>
      <c r="F377">
        <v>263.55</v>
      </c>
    </row>
    <row r="378" spans="1:6" hidden="1" x14ac:dyDescent="0.25">
      <c r="A378" s="6" t="s">
        <v>147</v>
      </c>
      <c r="B378" s="6" t="s">
        <v>59</v>
      </c>
      <c r="C378">
        <v>109879.65700000001</v>
      </c>
      <c r="D378">
        <v>109332.61900000001</v>
      </c>
      <c r="E378">
        <v>-547.03800000000001</v>
      </c>
      <c r="F378">
        <v>263.01</v>
      </c>
    </row>
    <row r="379" spans="1:6" hidden="1" x14ac:dyDescent="0.25">
      <c r="A379" s="6" t="s">
        <v>147</v>
      </c>
      <c r="B379" s="6" t="s">
        <v>60</v>
      </c>
      <c r="C379">
        <v>109856.149</v>
      </c>
      <c r="D379">
        <v>109308.995</v>
      </c>
      <c r="E379">
        <v>-547.154</v>
      </c>
      <c r="F379">
        <v>263.06</v>
      </c>
    </row>
    <row r="380" spans="1:6" hidden="1" x14ac:dyDescent="0.25">
      <c r="A380" s="6" t="s">
        <v>147</v>
      </c>
      <c r="B380" s="6" t="s">
        <v>61</v>
      </c>
      <c r="C380">
        <v>109800.66499999999</v>
      </c>
      <c r="D380">
        <v>109256.145</v>
      </c>
      <c r="E380">
        <v>-544.52</v>
      </c>
      <c r="F380">
        <v>261.8</v>
      </c>
    </row>
    <row r="381" spans="1:6" hidden="1" x14ac:dyDescent="0.25">
      <c r="A381" s="6" t="s">
        <v>147</v>
      </c>
      <c r="B381" s="6" t="s">
        <v>68</v>
      </c>
      <c r="C381">
        <v>109749.549</v>
      </c>
      <c r="D381">
        <v>109201.936</v>
      </c>
      <c r="E381">
        <v>-547.61300000000006</v>
      </c>
      <c r="F381">
        <v>263.27999999999997</v>
      </c>
    </row>
    <row r="382" spans="1:6" hidden="1" x14ac:dyDescent="0.25">
      <c r="A382" s="6" t="s">
        <v>148</v>
      </c>
      <c r="B382" s="6" t="s">
        <v>58</v>
      </c>
      <c r="C382">
        <v>4817.0600000000004</v>
      </c>
      <c r="D382">
        <v>4911.68</v>
      </c>
      <c r="E382">
        <v>94.62</v>
      </c>
      <c r="F382">
        <v>4731</v>
      </c>
    </row>
    <row r="383" spans="1:6" hidden="1" x14ac:dyDescent="0.25">
      <c r="A383" s="6" t="s">
        <v>148</v>
      </c>
      <c r="B383" s="6" t="s">
        <v>59</v>
      </c>
      <c r="C383">
        <v>4840.09</v>
      </c>
      <c r="D383">
        <v>4935.24</v>
      </c>
      <c r="E383">
        <v>95.15</v>
      </c>
      <c r="F383">
        <v>4757.5</v>
      </c>
    </row>
    <row r="384" spans="1:6" hidden="1" x14ac:dyDescent="0.25">
      <c r="A384" s="6" t="s">
        <v>148</v>
      </c>
      <c r="B384" s="6" t="s">
        <v>60</v>
      </c>
      <c r="C384">
        <v>4867.07</v>
      </c>
      <c r="D384">
        <v>4962.5200000000004</v>
      </c>
      <c r="E384">
        <v>95.45</v>
      </c>
      <c r="F384">
        <v>4772.5</v>
      </c>
    </row>
    <row r="385" spans="1:6" hidden="1" x14ac:dyDescent="0.25">
      <c r="A385" s="6" t="s">
        <v>148</v>
      </c>
      <c r="B385" s="6" t="s">
        <v>61</v>
      </c>
      <c r="C385">
        <v>4899.1899999999996</v>
      </c>
      <c r="D385">
        <v>4995.5600000000004</v>
      </c>
      <c r="E385">
        <v>96.37</v>
      </c>
      <c r="F385">
        <v>4818.5</v>
      </c>
    </row>
    <row r="386" spans="1:6" hidden="1" x14ac:dyDescent="0.25">
      <c r="A386" s="6" t="s">
        <v>148</v>
      </c>
      <c r="B386" s="6" t="s">
        <v>68</v>
      </c>
      <c r="C386">
        <v>4931.08</v>
      </c>
      <c r="D386">
        <v>5028.3</v>
      </c>
      <c r="E386">
        <v>97.22</v>
      </c>
      <c r="F386">
        <v>4861</v>
      </c>
    </row>
    <row r="387" spans="1:6" hidden="1" x14ac:dyDescent="0.25">
      <c r="A387" s="6" t="s">
        <v>149</v>
      </c>
      <c r="B387" s="6" t="s">
        <v>60</v>
      </c>
      <c r="C387">
        <v>56669</v>
      </c>
      <c r="D387">
        <v>55273</v>
      </c>
      <c r="E387">
        <v>-1396</v>
      </c>
      <c r="F387">
        <v>558.4</v>
      </c>
    </row>
    <row r="388" spans="1:6" hidden="1" x14ac:dyDescent="0.25">
      <c r="A388" s="6" t="s">
        <v>149</v>
      </c>
      <c r="B388" s="6" t="s">
        <v>69</v>
      </c>
      <c r="C388">
        <v>56398</v>
      </c>
      <c r="D388">
        <v>54936</v>
      </c>
      <c r="E388">
        <v>-1462</v>
      </c>
      <c r="F388">
        <v>584.79999999999995</v>
      </c>
    </row>
    <row r="389" spans="1:6" hidden="1" x14ac:dyDescent="0.25">
      <c r="A389" s="6" t="s">
        <v>150</v>
      </c>
      <c r="B389" s="6" t="s">
        <v>58</v>
      </c>
      <c r="C389">
        <v>20048.823</v>
      </c>
      <c r="D389">
        <v>20206.627</v>
      </c>
      <c r="E389">
        <v>157.804</v>
      </c>
      <c r="F389">
        <v>416.65</v>
      </c>
    </row>
    <row r="390" spans="1:6" hidden="1" x14ac:dyDescent="0.25">
      <c r="A390" s="6" t="s">
        <v>150</v>
      </c>
      <c r="B390" s="6" t="s">
        <v>59</v>
      </c>
      <c r="C390">
        <v>20137.29</v>
      </c>
      <c r="D390">
        <v>20289.212</v>
      </c>
      <c r="E390">
        <v>151.922</v>
      </c>
      <c r="F390">
        <v>401.12</v>
      </c>
    </row>
    <row r="391" spans="1:6" hidden="1" x14ac:dyDescent="0.25">
      <c r="A391" s="6" t="s">
        <v>150</v>
      </c>
      <c r="B391" s="6" t="s">
        <v>60</v>
      </c>
      <c r="C391">
        <v>20220.401000000002</v>
      </c>
      <c r="D391">
        <v>20374.447</v>
      </c>
      <c r="E391">
        <v>154.04599999999999</v>
      </c>
      <c r="F391">
        <v>406.73</v>
      </c>
    </row>
    <row r="392" spans="1:6" hidden="1" x14ac:dyDescent="0.25">
      <c r="A392" s="6" t="s">
        <v>150</v>
      </c>
      <c r="B392" s="6" t="s">
        <v>61</v>
      </c>
      <c r="C392">
        <v>20311.455999999998</v>
      </c>
      <c r="D392">
        <v>20475.031999999999</v>
      </c>
      <c r="E392">
        <v>163.57599999999999</v>
      </c>
      <c r="F392">
        <v>431.89</v>
      </c>
    </row>
    <row r="393" spans="1:6" hidden="1" x14ac:dyDescent="0.25">
      <c r="A393" s="6" t="s">
        <v>150</v>
      </c>
      <c r="B393" s="6" t="s">
        <v>68</v>
      </c>
      <c r="C393">
        <v>20403.844000000001</v>
      </c>
      <c r="D393">
        <v>20564.512999999999</v>
      </c>
      <c r="E393">
        <v>160.66900000000001</v>
      </c>
      <c r="F393">
        <v>424.22</v>
      </c>
    </row>
    <row r="394" spans="1:6" hidden="1" x14ac:dyDescent="0.25">
      <c r="A394" s="6" t="s">
        <v>151</v>
      </c>
      <c r="B394" s="6" t="s">
        <v>60</v>
      </c>
      <c r="C394">
        <v>4038</v>
      </c>
      <c r="D394">
        <v>3985</v>
      </c>
      <c r="E394">
        <v>-53</v>
      </c>
      <c r="F394">
        <v>238.5</v>
      </c>
    </row>
    <row r="395" spans="1:6" hidden="1" x14ac:dyDescent="0.25">
      <c r="A395" s="6" t="s">
        <v>151</v>
      </c>
      <c r="B395" s="6" t="s">
        <v>69</v>
      </c>
      <c r="C395">
        <v>4050</v>
      </c>
      <c r="D395">
        <v>4003</v>
      </c>
      <c r="E395">
        <v>-47</v>
      </c>
      <c r="F395">
        <v>211.5</v>
      </c>
    </row>
    <row r="396" spans="1:6" hidden="1" x14ac:dyDescent="0.25">
      <c r="A396" s="6" t="s">
        <v>152</v>
      </c>
      <c r="B396" s="6" t="s">
        <v>58</v>
      </c>
      <c r="C396">
        <v>2640.3310000000001</v>
      </c>
      <c r="D396">
        <v>2658.538</v>
      </c>
      <c r="E396">
        <v>18.207000000000001</v>
      </c>
      <c r="F396">
        <v>1365.52</v>
      </c>
    </row>
    <row r="397" spans="1:6" hidden="1" x14ac:dyDescent="0.25">
      <c r="A397" s="6" t="s">
        <v>152</v>
      </c>
      <c r="B397" s="6" t="s">
        <v>59</v>
      </c>
      <c r="C397">
        <v>2641.5540000000001</v>
      </c>
      <c r="D397">
        <v>2659.8850000000002</v>
      </c>
      <c r="E397">
        <v>18.331</v>
      </c>
      <c r="F397">
        <v>1374.82</v>
      </c>
    </row>
    <row r="398" spans="1:6" hidden="1" x14ac:dyDescent="0.25">
      <c r="A398" s="6" t="s">
        <v>152</v>
      </c>
      <c r="B398" s="6" t="s">
        <v>60</v>
      </c>
      <c r="C398">
        <v>2644.8119999999999</v>
      </c>
      <c r="D398">
        <v>2663.1089999999999</v>
      </c>
      <c r="E398">
        <v>18.297000000000001</v>
      </c>
      <c r="F398">
        <v>1372.27</v>
      </c>
    </row>
    <row r="399" spans="1:6" hidden="1" x14ac:dyDescent="0.25">
      <c r="A399" s="6" t="s">
        <v>152</v>
      </c>
      <c r="B399" s="6" t="s">
        <v>61</v>
      </c>
      <c r="C399">
        <v>2649.4180000000001</v>
      </c>
      <c r="D399">
        <v>2667.8809999999999</v>
      </c>
      <c r="E399">
        <v>18.463000000000001</v>
      </c>
      <c r="F399">
        <v>1384.72</v>
      </c>
    </row>
    <row r="400" spans="1:6" hidden="1" x14ac:dyDescent="0.25">
      <c r="A400" s="6" t="s">
        <v>152</v>
      </c>
      <c r="B400" s="6" t="s">
        <v>68</v>
      </c>
      <c r="C400">
        <v>2655.0790000000002</v>
      </c>
      <c r="D400">
        <v>2673.8310000000001</v>
      </c>
      <c r="E400">
        <v>18.751999999999999</v>
      </c>
      <c r="F400">
        <v>1406.4</v>
      </c>
    </row>
    <row r="401" spans="1:6" hidden="1" x14ac:dyDescent="0.25">
      <c r="A401" s="6" t="s">
        <v>153</v>
      </c>
      <c r="B401" s="6" t="s">
        <v>58</v>
      </c>
      <c r="C401">
        <v>8695.5730000000003</v>
      </c>
      <c r="D401">
        <v>8743.7810000000009</v>
      </c>
      <c r="E401">
        <v>48.207999999999998</v>
      </c>
      <c r="F401">
        <v>293</v>
      </c>
    </row>
    <row r="402" spans="1:6" hidden="1" x14ac:dyDescent="0.25">
      <c r="A402" s="6" t="s">
        <v>153</v>
      </c>
      <c r="B402" s="6" t="s">
        <v>59</v>
      </c>
      <c r="C402">
        <v>8697.4290000000001</v>
      </c>
      <c r="D402">
        <v>8745.2240000000002</v>
      </c>
      <c r="E402">
        <v>47.795000000000002</v>
      </c>
      <c r="F402">
        <v>290.49</v>
      </c>
    </row>
    <row r="403" spans="1:6" hidden="1" x14ac:dyDescent="0.25">
      <c r="A403" s="6" t="s">
        <v>153</v>
      </c>
      <c r="B403" s="6" t="s">
        <v>60</v>
      </c>
      <c r="C403">
        <v>8699.4040000000005</v>
      </c>
      <c r="D403">
        <v>8747.1970000000001</v>
      </c>
      <c r="E403">
        <v>47.792999999999999</v>
      </c>
      <c r="F403">
        <v>290.48</v>
      </c>
    </row>
    <row r="404" spans="1:6" hidden="1" x14ac:dyDescent="0.25">
      <c r="A404" s="6" t="s">
        <v>153</v>
      </c>
      <c r="B404" s="6" t="s">
        <v>61</v>
      </c>
      <c r="C404">
        <v>8701.8950000000004</v>
      </c>
      <c r="D404">
        <v>8749.9189999999999</v>
      </c>
      <c r="E404">
        <v>48.024000000000001</v>
      </c>
      <c r="F404">
        <v>291.89</v>
      </c>
    </row>
    <row r="405" spans="1:6" hidden="1" x14ac:dyDescent="0.25">
      <c r="A405" s="6" t="s">
        <v>153</v>
      </c>
      <c r="B405" s="6" t="s">
        <v>68</v>
      </c>
      <c r="C405">
        <v>8705.3850000000002</v>
      </c>
      <c r="D405">
        <v>8753.1659999999993</v>
      </c>
      <c r="E405">
        <v>47.780999999999999</v>
      </c>
      <c r="F405">
        <v>290.41000000000003</v>
      </c>
    </row>
    <row r="406" spans="1:6" hidden="1" x14ac:dyDescent="0.25">
      <c r="A406" s="6" t="s">
        <v>154</v>
      </c>
      <c r="B406" s="6" t="s">
        <v>58</v>
      </c>
      <c r="C406">
        <v>3727.3710000000001</v>
      </c>
      <c r="D406">
        <v>3770.8829999999998</v>
      </c>
      <c r="E406">
        <v>43.512</v>
      </c>
      <c r="F406">
        <v>3263.4</v>
      </c>
    </row>
    <row r="407" spans="1:6" hidden="1" x14ac:dyDescent="0.25">
      <c r="A407" s="6" t="s">
        <v>154</v>
      </c>
      <c r="B407" s="6" t="s">
        <v>59</v>
      </c>
      <c r="C407">
        <v>3743.6289999999999</v>
      </c>
      <c r="D407">
        <v>3787.3789999999999</v>
      </c>
      <c r="E407">
        <v>43.75</v>
      </c>
      <c r="F407">
        <v>3281.25</v>
      </c>
    </row>
    <row r="408" spans="1:6" hidden="1" x14ac:dyDescent="0.25">
      <c r="A408" s="6" t="s">
        <v>154</v>
      </c>
      <c r="B408" s="6" t="s">
        <v>60</v>
      </c>
      <c r="C408">
        <v>3762.1489999999999</v>
      </c>
      <c r="D408">
        <v>3806.57</v>
      </c>
      <c r="E408">
        <v>44.420999999999999</v>
      </c>
      <c r="F408">
        <v>3331.57</v>
      </c>
    </row>
    <row r="409" spans="1:6" hidden="1" x14ac:dyDescent="0.25">
      <c r="A409" s="6" t="s">
        <v>154</v>
      </c>
      <c r="B409" s="6" t="s">
        <v>61</v>
      </c>
      <c r="C409">
        <v>3784.482</v>
      </c>
      <c r="D409">
        <v>3828.7620000000002</v>
      </c>
      <c r="E409">
        <v>44.28</v>
      </c>
      <c r="F409">
        <v>3321</v>
      </c>
    </row>
    <row r="410" spans="1:6" hidden="1" x14ac:dyDescent="0.25">
      <c r="A410" s="6" t="s">
        <v>154</v>
      </c>
      <c r="B410" s="6" t="s">
        <v>68</v>
      </c>
      <c r="C410">
        <v>3806.1559999999999</v>
      </c>
      <c r="D410">
        <v>3850.8609999999999</v>
      </c>
      <c r="E410">
        <v>44.704999999999998</v>
      </c>
      <c r="F410">
        <v>3352.87</v>
      </c>
    </row>
    <row r="411" spans="1:6" hidden="1" x14ac:dyDescent="0.25">
      <c r="A411" s="6" t="s">
        <v>155</v>
      </c>
      <c r="B411" s="6" t="s">
        <v>58</v>
      </c>
      <c r="C411">
        <v>704</v>
      </c>
      <c r="D411">
        <v>702</v>
      </c>
      <c r="E411">
        <v>-2</v>
      </c>
      <c r="F411">
        <v>107.15</v>
      </c>
    </row>
    <row r="412" spans="1:6" hidden="1" x14ac:dyDescent="0.25">
      <c r="A412" s="6" t="s">
        <v>155</v>
      </c>
      <c r="B412" s="6" t="s">
        <v>59</v>
      </c>
      <c r="C412">
        <v>703.8</v>
      </c>
      <c r="D412">
        <v>701.8</v>
      </c>
      <c r="E412">
        <v>-2</v>
      </c>
      <c r="F412">
        <v>107.15</v>
      </c>
    </row>
    <row r="413" spans="1:6" hidden="1" x14ac:dyDescent="0.25">
      <c r="A413" s="6" t="s">
        <v>155</v>
      </c>
      <c r="B413" s="6" t="s">
        <v>60</v>
      </c>
      <c r="C413">
        <v>703.5</v>
      </c>
      <c r="D413">
        <v>701.6</v>
      </c>
      <c r="E413">
        <v>-1.9</v>
      </c>
      <c r="F413">
        <v>101.79</v>
      </c>
    </row>
    <row r="414" spans="1:6" hidden="1" x14ac:dyDescent="0.25">
      <c r="A414" s="6" t="s">
        <v>155</v>
      </c>
      <c r="B414" s="6" t="s">
        <v>61</v>
      </c>
      <c r="C414">
        <v>703.2</v>
      </c>
      <c r="D414">
        <v>701.2</v>
      </c>
      <c r="E414">
        <v>-2</v>
      </c>
      <c r="F414">
        <v>107.15</v>
      </c>
    </row>
    <row r="415" spans="1:6" hidden="1" x14ac:dyDescent="0.25">
      <c r="A415" s="6" t="s">
        <v>155</v>
      </c>
      <c r="B415" s="6" t="s">
        <v>68</v>
      </c>
      <c r="C415">
        <v>702.8</v>
      </c>
      <c r="D415">
        <v>700.8</v>
      </c>
      <c r="E415">
        <v>-2</v>
      </c>
      <c r="F415">
        <v>107.15</v>
      </c>
    </row>
    <row r="416" spans="1:6" hidden="1" x14ac:dyDescent="0.25">
      <c r="A416" s="6" t="s">
        <v>156</v>
      </c>
      <c r="B416" s="6" t="s">
        <v>58</v>
      </c>
      <c r="C416">
        <v>99797.67</v>
      </c>
      <c r="D416">
        <v>99797.83</v>
      </c>
      <c r="E416">
        <v>0.16</v>
      </c>
      <c r="F416">
        <v>0.16</v>
      </c>
    </row>
    <row r="417" spans="1:6" hidden="1" x14ac:dyDescent="0.25">
      <c r="A417" s="6" t="s">
        <v>156</v>
      </c>
      <c r="B417" s="6" t="s">
        <v>59</v>
      </c>
      <c r="C417">
        <v>99315.8</v>
      </c>
      <c r="D417">
        <v>99315.74</v>
      </c>
      <c r="E417">
        <v>-0.06</v>
      </c>
      <c r="F417">
        <v>0.06</v>
      </c>
    </row>
    <row r="418" spans="1:6" hidden="1" x14ac:dyDescent="0.25">
      <c r="A418" s="6" t="s">
        <v>156</v>
      </c>
      <c r="B418" s="6" t="s">
        <v>60</v>
      </c>
      <c r="C418">
        <v>98762.13</v>
      </c>
      <c r="D418">
        <v>98761.69</v>
      </c>
      <c r="E418">
        <v>-0.44</v>
      </c>
      <c r="F418">
        <v>0.44</v>
      </c>
    </row>
    <row r="419" spans="1:6" hidden="1" x14ac:dyDescent="0.25">
      <c r="A419" s="6" t="s">
        <v>156</v>
      </c>
      <c r="B419" s="6" t="s">
        <v>61</v>
      </c>
      <c r="C419">
        <v>98061.41</v>
      </c>
      <c r="D419">
        <v>98064.52</v>
      </c>
      <c r="E419">
        <v>3.11</v>
      </c>
      <c r="F419">
        <v>3.11</v>
      </c>
    </row>
    <row r="420" spans="1:6" hidden="1" x14ac:dyDescent="0.25">
      <c r="A420" s="6" t="s">
        <v>156</v>
      </c>
      <c r="B420" s="6" t="s">
        <v>68</v>
      </c>
      <c r="C420">
        <v>97404.1</v>
      </c>
      <c r="D420">
        <v>97406.47</v>
      </c>
      <c r="E420">
        <v>2.37</v>
      </c>
      <c r="F420">
        <v>2.37</v>
      </c>
    </row>
    <row r="421" spans="1:6" hidden="1" x14ac:dyDescent="0.25">
      <c r="A421" s="6" t="s">
        <v>156</v>
      </c>
      <c r="B421" s="6" t="s">
        <v>69</v>
      </c>
      <c r="C421">
        <v>96757.35</v>
      </c>
      <c r="D421">
        <v>96764.08</v>
      </c>
      <c r="E421">
        <v>6.73</v>
      </c>
      <c r="F421">
        <v>6.73</v>
      </c>
    </row>
    <row r="422" spans="1:6" hidden="1" x14ac:dyDescent="0.25">
      <c r="A422" s="6" t="s">
        <v>156</v>
      </c>
      <c r="B422" s="6" t="s">
        <v>70</v>
      </c>
      <c r="C422">
        <v>95999.09</v>
      </c>
      <c r="D422">
        <v>96011.51</v>
      </c>
      <c r="E422">
        <v>12.42</v>
      </c>
      <c r="F422">
        <v>12.42</v>
      </c>
    </row>
    <row r="423" spans="1:6" hidden="1" x14ac:dyDescent="0.25">
      <c r="A423" s="6" t="s">
        <v>156</v>
      </c>
      <c r="B423" s="6" t="s">
        <v>71</v>
      </c>
      <c r="C423">
        <v>95328.2</v>
      </c>
      <c r="D423">
        <v>95342.69</v>
      </c>
      <c r="E423">
        <v>14.49</v>
      </c>
      <c r="F423">
        <v>14.49</v>
      </c>
    </row>
    <row r="424" spans="1:6" hidden="1" x14ac:dyDescent="0.25">
      <c r="A424" s="6" t="s">
        <v>156</v>
      </c>
      <c r="B424" s="6" t="s">
        <v>103</v>
      </c>
      <c r="C424">
        <v>94635.839999999997</v>
      </c>
      <c r="D424">
        <v>94583.039999999994</v>
      </c>
      <c r="E424">
        <v>-52.8</v>
      </c>
      <c r="F424">
        <v>52.8</v>
      </c>
    </row>
    <row r="425" spans="1:6" hidden="1" x14ac:dyDescent="0.25">
      <c r="A425" s="6" t="s">
        <v>156</v>
      </c>
      <c r="B425" s="6" t="s">
        <v>77</v>
      </c>
      <c r="C425">
        <v>93847.07</v>
      </c>
      <c r="D425">
        <v>93865.46</v>
      </c>
      <c r="E425">
        <v>18.39</v>
      </c>
      <c r="F425">
        <v>18.39</v>
      </c>
    </row>
    <row r="426" spans="1:6" hidden="1" x14ac:dyDescent="0.25">
      <c r="A426" s="6" t="s">
        <v>156</v>
      </c>
      <c r="B426" s="6" t="s">
        <v>89</v>
      </c>
      <c r="C426">
        <v>93118.41</v>
      </c>
      <c r="D426">
        <v>93138.52</v>
      </c>
      <c r="E426">
        <v>20.11</v>
      </c>
      <c r="F426">
        <v>20.11</v>
      </c>
    </row>
    <row r="427" spans="1:6" hidden="1" x14ac:dyDescent="0.25">
      <c r="A427" s="6" t="s">
        <v>156</v>
      </c>
      <c r="B427" s="6" t="s">
        <v>78</v>
      </c>
      <c r="C427">
        <v>92317.02</v>
      </c>
      <c r="D427">
        <v>92339.85</v>
      </c>
      <c r="E427">
        <v>22.83</v>
      </c>
      <c r="F427">
        <v>22.83</v>
      </c>
    </row>
    <row r="428" spans="1:6" hidden="1" x14ac:dyDescent="0.25">
      <c r="A428" s="6" t="s">
        <v>156</v>
      </c>
      <c r="B428" s="6" t="s">
        <v>72</v>
      </c>
      <c r="C428">
        <v>91601.02</v>
      </c>
      <c r="D428">
        <v>91635.33</v>
      </c>
      <c r="E428">
        <v>34.31</v>
      </c>
      <c r="F428">
        <v>34.31</v>
      </c>
    </row>
    <row r="429" spans="1:6" hidden="1" x14ac:dyDescent="0.25">
      <c r="A429" s="6" t="s">
        <v>156</v>
      </c>
      <c r="B429" s="6" t="s">
        <v>90</v>
      </c>
      <c r="C429">
        <v>89487.39</v>
      </c>
      <c r="D429">
        <v>89558.2</v>
      </c>
      <c r="E429">
        <v>70.81</v>
      </c>
      <c r="F429">
        <v>70.81</v>
      </c>
    </row>
    <row r="430" spans="1:6" hidden="1" x14ac:dyDescent="0.25">
      <c r="A430" s="6" t="s">
        <v>156</v>
      </c>
      <c r="B430" s="6" t="s">
        <v>104</v>
      </c>
      <c r="C430">
        <v>87270.71</v>
      </c>
      <c r="D430">
        <v>87357.53</v>
      </c>
      <c r="E430">
        <v>86.82</v>
      </c>
      <c r="F430">
        <v>86.82</v>
      </c>
    </row>
    <row r="431" spans="1:6" hidden="1" x14ac:dyDescent="0.25">
      <c r="A431" s="6" t="s">
        <v>156</v>
      </c>
      <c r="B431" s="6" t="s">
        <v>105</v>
      </c>
      <c r="C431">
        <v>85082.6</v>
      </c>
      <c r="D431">
        <v>85186.02</v>
      </c>
      <c r="E431">
        <v>103.42</v>
      </c>
      <c r="F431">
        <v>103.42</v>
      </c>
    </row>
    <row r="432" spans="1:6" hidden="1" x14ac:dyDescent="0.25">
      <c r="A432" s="6" t="s">
        <v>156</v>
      </c>
      <c r="B432" s="6" t="s">
        <v>106</v>
      </c>
      <c r="C432">
        <v>82885.259999999995</v>
      </c>
      <c r="D432">
        <v>82983.520000000004</v>
      </c>
      <c r="E432">
        <v>98.26</v>
      </c>
      <c r="F432">
        <v>98.26</v>
      </c>
    </row>
    <row r="433" spans="1:6" hidden="1" x14ac:dyDescent="0.25">
      <c r="A433" s="6" t="s">
        <v>156</v>
      </c>
      <c r="B433" s="6" t="s">
        <v>107</v>
      </c>
      <c r="C433">
        <v>80832.25</v>
      </c>
      <c r="D433">
        <v>80963.289999999994</v>
      </c>
      <c r="E433">
        <v>131.04</v>
      </c>
      <c r="F433">
        <v>131.04</v>
      </c>
    </row>
    <row r="434" spans="1:6" hidden="1" x14ac:dyDescent="0.25">
      <c r="A434" s="6" t="s">
        <v>156</v>
      </c>
      <c r="B434" s="6" t="s">
        <v>108</v>
      </c>
      <c r="C434">
        <v>78815.839999999997</v>
      </c>
      <c r="D434">
        <v>78937.929999999993</v>
      </c>
      <c r="E434">
        <v>122.09</v>
      </c>
      <c r="F434">
        <v>122.09</v>
      </c>
    </row>
    <row r="435" spans="1:6" hidden="1" x14ac:dyDescent="0.25">
      <c r="A435" s="6" t="s">
        <v>156</v>
      </c>
      <c r="B435" s="6" t="s">
        <v>109</v>
      </c>
      <c r="C435">
        <v>76764.929999999993</v>
      </c>
      <c r="D435">
        <v>76875.22</v>
      </c>
      <c r="E435">
        <v>110.29</v>
      </c>
      <c r="F435">
        <v>110.29</v>
      </c>
    </row>
    <row r="436" spans="1:6" hidden="1" x14ac:dyDescent="0.25">
      <c r="A436" s="6" t="s">
        <v>156</v>
      </c>
      <c r="B436" s="6" t="s">
        <v>110</v>
      </c>
      <c r="C436">
        <v>74696.639999999999</v>
      </c>
      <c r="D436">
        <v>74843.850000000006</v>
      </c>
      <c r="E436">
        <v>147.21</v>
      </c>
      <c r="F436">
        <v>147.21</v>
      </c>
    </row>
    <row r="437" spans="1:6" hidden="1" x14ac:dyDescent="0.25">
      <c r="A437" s="6" t="s">
        <v>156</v>
      </c>
      <c r="B437" s="6" t="s">
        <v>111</v>
      </c>
      <c r="C437">
        <v>72698.91</v>
      </c>
      <c r="D437">
        <v>72885.75</v>
      </c>
      <c r="E437">
        <v>186.84</v>
      </c>
      <c r="F437">
        <v>186.84</v>
      </c>
    </row>
    <row r="438" spans="1:6" hidden="1" x14ac:dyDescent="0.25">
      <c r="A438" s="6" t="s">
        <v>156</v>
      </c>
      <c r="B438" s="6" t="s">
        <v>112</v>
      </c>
      <c r="C438">
        <v>70849.37</v>
      </c>
      <c r="D438">
        <v>71044.009999999995</v>
      </c>
      <c r="E438">
        <v>194.64</v>
      </c>
      <c r="F438">
        <v>194.64</v>
      </c>
    </row>
    <row r="439" spans="1:6" hidden="1" x14ac:dyDescent="0.25">
      <c r="A439" s="6" t="s">
        <v>156</v>
      </c>
      <c r="B439" s="6" t="s">
        <v>113</v>
      </c>
      <c r="C439">
        <v>69124.81</v>
      </c>
      <c r="D439">
        <v>69326.899999999994</v>
      </c>
      <c r="E439">
        <v>202.09</v>
      </c>
      <c r="F439">
        <v>202.09</v>
      </c>
    </row>
    <row r="440" spans="1:6" hidden="1" x14ac:dyDescent="0.25">
      <c r="A440" s="6" t="s">
        <v>156</v>
      </c>
      <c r="B440" s="6" t="s">
        <v>114</v>
      </c>
      <c r="C440">
        <v>67169.960000000006</v>
      </c>
      <c r="D440">
        <v>67379.199999999997</v>
      </c>
      <c r="E440">
        <v>209.24</v>
      </c>
      <c r="F440">
        <v>209.24</v>
      </c>
    </row>
    <row r="441" spans="1:6" hidden="1" x14ac:dyDescent="0.25">
      <c r="A441" s="6" t="s">
        <v>156</v>
      </c>
      <c r="B441" s="6" t="s">
        <v>115</v>
      </c>
      <c r="C441">
        <v>65377.4</v>
      </c>
      <c r="D441">
        <v>65644.259999999995</v>
      </c>
      <c r="E441">
        <v>266.86</v>
      </c>
      <c r="F441">
        <v>266.86</v>
      </c>
    </row>
    <row r="442" spans="1:6" hidden="1" x14ac:dyDescent="0.25">
      <c r="A442" s="6" t="s">
        <v>156</v>
      </c>
      <c r="B442" s="6" t="s">
        <v>116</v>
      </c>
      <c r="C442">
        <v>63669.25</v>
      </c>
      <c r="D442">
        <v>63943.16</v>
      </c>
      <c r="E442">
        <v>273.91000000000003</v>
      </c>
      <c r="F442">
        <v>273.91000000000003</v>
      </c>
    </row>
    <row r="443" spans="1:6" hidden="1" x14ac:dyDescent="0.25">
      <c r="A443" s="6" t="s">
        <v>156</v>
      </c>
      <c r="B443" s="6" t="s">
        <v>117</v>
      </c>
      <c r="C443">
        <v>62123.41</v>
      </c>
      <c r="D443">
        <v>62396.27</v>
      </c>
      <c r="E443">
        <v>272.86</v>
      </c>
      <c r="F443">
        <v>272.86</v>
      </c>
    </row>
    <row r="444" spans="1:6" hidden="1" x14ac:dyDescent="0.25">
      <c r="A444" s="6" t="s">
        <v>156</v>
      </c>
      <c r="B444" s="6" t="s">
        <v>118</v>
      </c>
      <c r="C444">
        <v>58686.07</v>
      </c>
      <c r="D444">
        <v>58950.39</v>
      </c>
      <c r="E444">
        <v>264.32</v>
      </c>
      <c r="F444">
        <v>264.32</v>
      </c>
    </row>
    <row r="445" spans="1:6" hidden="1" x14ac:dyDescent="0.25">
      <c r="A445" s="6" t="s">
        <v>156</v>
      </c>
      <c r="B445" s="6" t="s">
        <v>119</v>
      </c>
      <c r="C445">
        <v>52708.71</v>
      </c>
      <c r="D445">
        <v>52988.97</v>
      </c>
      <c r="E445">
        <v>280.26</v>
      </c>
      <c r="F445">
        <v>280.26</v>
      </c>
    </row>
    <row r="446" spans="1:6" hidden="1" x14ac:dyDescent="0.25">
      <c r="A446" s="6" t="s">
        <v>156</v>
      </c>
      <c r="B446" s="6" t="s">
        <v>120</v>
      </c>
      <c r="C446">
        <v>47184.34</v>
      </c>
      <c r="D446">
        <v>47473.23</v>
      </c>
      <c r="E446">
        <v>288.89</v>
      </c>
      <c r="F446">
        <v>288.89</v>
      </c>
    </row>
    <row r="447" spans="1:6" hidden="1" x14ac:dyDescent="0.25">
      <c r="A447" s="6" t="s">
        <v>156</v>
      </c>
      <c r="B447" s="6" t="s">
        <v>121</v>
      </c>
      <c r="C447">
        <v>42297.53</v>
      </c>
      <c r="D447">
        <v>42543.199999999997</v>
      </c>
      <c r="E447">
        <v>245.67</v>
      </c>
      <c r="F447">
        <v>245.67</v>
      </c>
    </row>
    <row r="448" spans="1:6" hidden="1" x14ac:dyDescent="0.25">
      <c r="A448" s="6" t="s">
        <v>156</v>
      </c>
      <c r="B448" s="6" t="s">
        <v>122</v>
      </c>
      <c r="C448">
        <v>37935.050000000003</v>
      </c>
      <c r="D448">
        <v>38133.51</v>
      </c>
      <c r="E448">
        <v>198.46</v>
      </c>
      <c r="F448">
        <v>198.46</v>
      </c>
    </row>
    <row r="449" spans="1:6" hidden="1" x14ac:dyDescent="0.25">
      <c r="A449" s="6" t="s">
        <v>156</v>
      </c>
      <c r="B449" s="6" t="s">
        <v>123</v>
      </c>
      <c r="C449">
        <v>30443.77</v>
      </c>
      <c r="D449">
        <v>30636.16</v>
      </c>
      <c r="E449">
        <v>192.39</v>
      </c>
      <c r="F449">
        <v>192.39</v>
      </c>
    </row>
    <row r="450" spans="1:6" hidden="1" x14ac:dyDescent="0.25">
      <c r="A450" s="6" t="s">
        <v>156</v>
      </c>
      <c r="B450" s="6" t="s">
        <v>124</v>
      </c>
      <c r="C450">
        <v>24250.85</v>
      </c>
      <c r="D450">
        <v>24430.15</v>
      </c>
      <c r="E450">
        <v>179.3</v>
      </c>
      <c r="F450">
        <v>179.3</v>
      </c>
    </row>
    <row r="451" spans="1:6" hidden="1" x14ac:dyDescent="0.25">
      <c r="A451" s="6" t="s">
        <v>156</v>
      </c>
      <c r="B451" s="6" t="s">
        <v>125</v>
      </c>
      <c r="C451">
        <v>21504.560000000001</v>
      </c>
      <c r="D451">
        <v>21675.08</v>
      </c>
      <c r="E451">
        <v>170.52</v>
      </c>
      <c r="F451">
        <v>170.52</v>
      </c>
    </row>
    <row r="452" spans="1:6" hidden="1" x14ac:dyDescent="0.25">
      <c r="A452" s="6" t="s">
        <v>157</v>
      </c>
      <c r="B452" s="6" t="s">
        <v>58</v>
      </c>
      <c r="C452">
        <v>298.59500000000003</v>
      </c>
      <c r="D452">
        <v>299.53699999999998</v>
      </c>
      <c r="E452">
        <v>0.94199999999999995</v>
      </c>
      <c r="F452">
        <v>235.5</v>
      </c>
    </row>
    <row r="453" spans="1:6" hidden="1" x14ac:dyDescent="0.25">
      <c r="A453" s="6" t="s">
        <v>157</v>
      </c>
      <c r="B453" s="6" t="s">
        <v>59</v>
      </c>
      <c r="C453">
        <v>300.03899999999999</v>
      </c>
      <c r="D453">
        <v>300.98700000000002</v>
      </c>
      <c r="E453">
        <v>0.94799999999999995</v>
      </c>
      <c r="F453">
        <v>237</v>
      </c>
    </row>
    <row r="454" spans="1:6" hidden="1" x14ac:dyDescent="0.25">
      <c r="A454" s="6" t="s">
        <v>158</v>
      </c>
      <c r="B454" s="6" t="s">
        <v>58</v>
      </c>
      <c r="C454">
        <v>25.04</v>
      </c>
      <c r="D454">
        <v>24.75</v>
      </c>
      <c r="E454">
        <v>-0.28999999999999998</v>
      </c>
      <c r="F454">
        <v>0.28999999999999998</v>
      </c>
    </row>
    <row r="455" spans="1:6" hidden="1" x14ac:dyDescent="0.25">
      <c r="A455" s="6" t="s">
        <v>158</v>
      </c>
      <c r="B455" s="6" t="s">
        <v>59</v>
      </c>
      <c r="C455">
        <v>25.19</v>
      </c>
      <c r="D455">
        <v>24.9</v>
      </c>
      <c r="E455">
        <v>-0.28999999999999998</v>
      </c>
      <c r="F455">
        <v>0.28999999999999998</v>
      </c>
    </row>
    <row r="456" spans="1:6" hidden="1" x14ac:dyDescent="0.25">
      <c r="A456" s="6" t="s">
        <v>158</v>
      </c>
      <c r="B456" s="6" t="s">
        <v>60</v>
      </c>
      <c r="C456">
        <v>25.34</v>
      </c>
      <c r="D456">
        <v>25.05</v>
      </c>
      <c r="E456">
        <v>-0.28999999999999998</v>
      </c>
      <c r="F456">
        <v>0.28999999999999998</v>
      </c>
    </row>
    <row r="457" spans="1:6" hidden="1" x14ac:dyDescent="0.25">
      <c r="A457" s="6" t="s">
        <v>159</v>
      </c>
      <c r="B457" s="6" t="s">
        <v>58</v>
      </c>
      <c r="C457">
        <v>52.42</v>
      </c>
      <c r="D457">
        <v>50.91</v>
      </c>
      <c r="E457">
        <v>-1.51</v>
      </c>
      <c r="F457">
        <v>1.51</v>
      </c>
    </row>
    <row r="458" spans="1:6" hidden="1" x14ac:dyDescent="0.25">
      <c r="A458" s="6" t="s">
        <v>159</v>
      </c>
      <c r="B458" s="6" t="s">
        <v>59</v>
      </c>
      <c r="C458">
        <v>52.73</v>
      </c>
      <c r="D458">
        <v>51.21</v>
      </c>
      <c r="E458">
        <v>-1.52</v>
      </c>
      <c r="F458">
        <v>1.52</v>
      </c>
    </row>
    <row r="459" spans="1:6" hidden="1" x14ac:dyDescent="0.25">
      <c r="A459" s="6" t="s">
        <v>159</v>
      </c>
      <c r="B459" s="6" t="s">
        <v>60</v>
      </c>
      <c r="C459">
        <v>53.04</v>
      </c>
      <c r="D459">
        <v>51.51</v>
      </c>
      <c r="E459">
        <v>-1.53</v>
      </c>
      <c r="F459">
        <v>1.53</v>
      </c>
    </row>
    <row r="460" spans="1:6" hidden="1" x14ac:dyDescent="0.25">
      <c r="A460" s="6" t="s">
        <v>160</v>
      </c>
      <c r="B460" s="6" t="s">
        <v>58</v>
      </c>
      <c r="C460">
        <v>73032.5</v>
      </c>
      <c r="D460">
        <v>73741.370999999999</v>
      </c>
      <c r="E460">
        <v>708.87099999999998</v>
      </c>
      <c r="F460">
        <v>514.19000000000005</v>
      </c>
    </row>
    <row r="461" spans="1:6" hidden="1" x14ac:dyDescent="0.25">
      <c r="A461" s="6" t="s">
        <v>160</v>
      </c>
      <c r="B461" s="6" t="s">
        <v>59</v>
      </c>
      <c r="C461">
        <v>73458.312999999995</v>
      </c>
      <c r="D461">
        <v>74131.540999999997</v>
      </c>
      <c r="E461">
        <v>673.22799999999995</v>
      </c>
      <c r="F461">
        <v>488.33</v>
      </c>
    </row>
    <row r="462" spans="1:6" hidden="1" x14ac:dyDescent="0.25">
      <c r="A462" s="6" t="s">
        <v>160</v>
      </c>
      <c r="B462" s="6" t="s">
        <v>60</v>
      </c>
      <c r="C462">
        <v>73839.976999999999</v>
      </c>
      <c r="D462">
        <v>74526.596999999994</v>
      </c>
      <c r="E462">
        <v>686.62</v>
      </c>
      <c r="F462">
        <v>498.05</v>
      </c>
    </row>
    <row r="463" spans="1:6" hidden="1" x14ac:dyDescent="0.25">
      <c r="A463" s="6" t="s">
        <v>160</v>
      </c>
      <c r="B463" s="6" t="s">
        <v>61</v>
      </c>
      <c r="C463">
        <v>74248.373999999996</v>
      </c>
      <c r="D463">
        <v>74969.013999999996</v>
      </c>
      <c r="E463">
        <v>720.64</v>
      </c>
      <c r="F463">
        <v>522.72</v>
      </c>
    </row>
    <row r="464" spans="1:6" hidden="1" x14ac:dyDescent="0.25">
      <c r="A464" s="6" t="s">
        <v>160</v>
      </c>
      <c r="B464" s="6" t="s">
        <v>68</v>
      </c>
      <c r="C464">
        <v>74674.157999999996</v>
      </c>
      <c r="D464">
        <v>75390.006999999998</v>
      </c>
      <c r="E464">
        <v>715.84900000000005</v>
      </c>
      <c r="F464">
        <v>519.25</v>
      </c>
    </row>
    <row r="465" spans="1:6" hidden="1" x14ac:dyDescent="0.25">
      <c r="A465" s="6" t="s">
        <v>161</v>
      </c>
      <c r="B465" s="6" t="s">
        <v>58</v>
      </c>
      <c r="C465">
        <v>8674.8349999999991</v>
      </c>
      <c r="D465">
        <v>8698.5779999999995</v>
      </c>
      <c r="E465">
        <v>23.742999999999999</v>
      </c>
      <c r="F465">
        <v>144.63</v>
      </c>
    </row>
    <row r="466" spans="1:6" hidden="1" x14ac:dyDescent="0.25">
      <c r="A466" s="6" t="s">
        <v>161</v>
      </c>
      <c r="B466" s="6" t="s">
        <v>59</v>
      </c>
      <c r="C466">
        <v>8672.6409999999996</v>
      </c>
      <c r="D466">
        <v>8696.6020000000008</v>
      </c>
      <c r="E466">
        <v>23.960999999999999</v>
      </c>
      <c r="F466">
        <v>145.96</v>
      </c>
    </row>
    <row r="467" spans="1:6" hidden="1" x14ac:dyDescent="0.25">
      <c r="A467" s="6" t="s">
        <v>161</v>
      </c>
      <c r="B467" s="6" t="s">
        <v>60</v>
      </c>
      <c r="C467">
        <v>8670.6749999999993</v>
      </c>
      <c r="D467">
        <v>8694.6669999999995</v>
      </c>
      <c r="E467">
        <v>23.992000000000001</v>
      </c>
      <c r="F467">
        <v>146.15</v>
      </c>
    </row>
    <row r="468" spans="1:6" hidden="1" x14ac:dyDescent="0.25">
      <c r="A468" s="6" t="s">
        <v>161</v>
      </c>
      <c r="B468" s="6" t="s">
        <v>61</v>
      </c>
      <c r="C468">
        <v>8666.2430000000004</v>
      </c>
      <c r="D468">
        <v>8690.3549999999996</v>
      </c>
      <c r="E468">
        <v>24.111999999999998</v>
      </c>
      <c r="F468">
        <v>146.88</v>
      </c>
    </row>
    <row r="469" spans="1:6" hidden="1" x14ac:dyDescent="0.25">
      <c r="A469" s="6" t="s">
        <v>161</v>
      </c>
      <c r="B469" s="6" t="s">
        <v>68</v>
      </c>
      <c r="C469">
        <v>8662.3279999999995</v>
      </c>
      <c r="D469">
        <v>8686.2309999999998</v>
      </c>
      <c r="E469">
        <v>23.902999999999999</v>
      </c>
      <c r="F469">
        <v>145.6</v>
      </c>
    </row>
    <row r="470" spans="1:6" hidden="1" x14ac:dyDescent="0.25">
      <c r="A470" s="6" t="s">
        <v>162</v>
      </c>
      <c r="B470" s="6" t="s">
        <v>59</v>
      </c>
      <c r="C470">
        <v>28.306899999999999</v>
      </c>
      <c r="D470">
        <v>27.832899999999999</v>
      </c>
      <c r="E470">
        <v>-0.47399999999999998</v>
      </c>
      <c r="F470">
        <v>1142.81</v>
      </c>
    </row>
    <row r="471" spans="1:6" hidden="1" x14ac:dyDescent="0.25">
      <c r="A471" s="6" t="s">
        <v>162</v>
      </c>
      <c r="B471" s="6" t="s">
        <v>61</v>
      </c>
      <c r="C471">
        <v>28.505299999999998</v>
      </c>
      <c r="D471">
        <v>28.036799999999999</v>
      </c>
      <c r="E471">
        <v>-0.46850000000000003</v>
      </c>
      <c r="F471">
        <v>1129.55</v>
      </c>
    </row>
    <row r="472" spans="1:6" hidden="1" x14ac:dyDescent="0.25">
      <c r="A472" s="6" t="s">
        <v>162</v>
      </c>
      <c r="B472" s="6" t="s">
        <v>69</v>
      </c>
      <c r="C472">
        <v>28.599</v>
      </c>
      <c r="D472">
        <v>28.135999999999999</v>
      </c>
      <c r="E472">
        <v>-0.46300000000000002</v>
      </c>
      <c r="F472">
        <v>1116.29</v>
      </c>
    </row>
    <row r="473" spans="1:6" hidden="1" x14ac:dyDescent="0.25">
      <c r="A473" s="6" t="s">
        <v>162</v>
      </c>
      <c r="B473" s="6" t="s">
        <v>71</v>
      </c>
      <c r="C473">
        <v>28.714700000000001</v>
      </c>
      <c r="D473">
        <v>28.273800000000001</v>
      </c>
      <c r="E473">
        <v>-0.44090000000000001</v>
      </c>
      <c r="F473">
        <v>1063.01</v>
      </c>
    </row>
    <row r="474" spans="1:6" hidden="1" x14ac:dyDescent="0.25">
      <c r="A474" s="6" t="s">
        <v>162</v>
      </c>
      <c r="B474" s="6" t="s">
        <v>77</v>
      </c>
      <c r="C474">
        <v>28.7698</v>
      </c>
      <c r="D474">
        <v>28.350999999999999</v>
      </c>
      <c r="E474">
        <v>-0.41880000000000001</v>
      </c>
      <c r="F474">
        <v>1009.73</v>
      </c>
    </row>
    <row r="475" spans="1:6" hidden="1" x14ac:dyDescent="0.25">
      <c r="A475" s="6" t="s">
        <v>162</v>
      </c>
      <c r="B475" s="6" t="s">
        <v>89</v>
      </c>
      <c r="C475">
        <v>28.5825</v>
      </c>
      <c r="D475">
        <v>28.174600000000002</v>
      </c>
      <c r="E475">
        <v>-0.40789999999999998</v>
      </c>
      <c r="F475">
        <v>983.45</v>
      </c>
    </row>
    <row r="476" spans="1:6" hidden="1" x14ac:dyDescent="0.25">
      <c r="A476" s="6" t="s">
        <v>162</v>
      </c>
      <c r="B476" s="6" t="s">
        <v>78</v>
      </c>
      <c r="C476">
        <v>28.003699999999998</v>
      </c>
      <c r="D476">
        <v>27.612400000000001</v>
      </c>
      <c r="E476">
        <v>-0.39129999999999998</v>
      </c>
      <c r="F476">
        <v>943.42</v>
      </c>
    </row>
    <row r="477" spans="1:6" hidden="1" x14ac:dyDescent="0.25">
      <c r="A477" s="6" t="s">
        <v>162</v>
      </c>
      <c r="B477" s="6" t="s">
        <v>79</v>
      </c>
      <c r="C477">
        <v>27.684100000000001</v>
      </c>
      <c r="D477">
        <v>27.3369</v>
      </c>
      <c r="E477">
        <v>-0.34720000000000001</v>
      </c>
      <c r="F477">
        <v>837.1</v>
      </c>
    </row>
    <row r="478" spans="1:6" hidden="1" x14ac:dyDescent="0.25">
      <c r="A478" s="6" t="s">
        <v>163</v>
      </c>
      <c r="B478" s="6" t="s">
        <v>58</v>
      </c>
      <c r="C478">
        <v>932</v>
      </c>
      <c r="D478">
        <v>927.6</v>
      </c>
      <c r="E478">
        <v>-4.4000000000000004</v>
      </c>
      <c r="F478">
        <v>249.42</v>
      </c>
    </row>
    <row r="479" spans="1:6" hidden="1" x14ac:dyDescent="0.25">
      <c r="A479" s="6" t="s">
        <v>163</v>
      </c>
      <c r="B479" s="6" t="s">
        <v>59</v>
      </c>
      <c r="C479">
        <v>931.2</v>
      </c>
      <c r="D479">
        <v>926.9</v>
      </c>
      <c r="E479">
        <v>-4.3</v>
      </c>
      <c r="F479">
        <v>243.75</v>
      </c>
    </row>
    <row r="480" spans="1:6" hidden="1" x14ac:dyDescent="0.25">
      <c r="A480" s="6" t="s">
        <v>163</v>
      </c>
      <c r="B480" s="6" t="s">
        <v>60</v>
      </c>
      <c r="C480">
        <v>930.5</v>
      </c>
      <c r="D480">
        <v>926.2</v>
      </c>
      <c r="E480">
        <v>-4.3</v>
      </c>
      <c r="F480">
        <v>243.75</v>
      </c>
    </row>
    <row r="481" spans="1:6" hidden="1" x14ac:dyDescent="0.25">
      <c r="A481" s="6" t="s">
        <v>163</v>
      </c>
      <c r="B481" s="6" t="s">
        <v>61</v>
      </c>
      <c r="C481">
        <v>929.6</v>
      </c>
      <c r="D481">
        <v>925.3</v>
      </c>
      <c r="E481">
        <v>-4.3</v>
      </c>
      <c r="F481">
        <v>243.75</v>
      </c>
    </row>
    <row r="482" spans="1:6" hidden="1" x14ac:dyDescent="0.25">
      <c r="A482" s="6" t="s">
        <v>163</v>
      </c>
      <c r="B482" s="6" t="s">
        <v>68</v>
      </c>
      <c r="C482">
        <v>928.7</v>
      </c>
      <c r="D482">
        <v>924.4</v>
      </c>
      <c r="E482">
        <v>-4.3</v>
      </c>
      <c r="F482">
        <v>243.75</v>
      </c>
    </row>
    <row r="483" spans="1:6" hidden="1" x14ac:dyDescent="0.25">
      <c r="A483" s="6" t="s">
        <v>164</v>
      </c>
      <c r="B483" s="6" t="s">
        <v>60</v>
      </c>
      <c r="C483">
        <v>132.78120000000001</v>
      </c>
      <c r="D483">
        <v>133.26560000000001</v>
      </c>
      <c r="E483">
        <v>0.4844</v>
      </c>
      <c r="F483">
        <v>2583.4</v>
      </c>
    </row>
    <row r="484" spans="1:6" hidden="1" x14ac:dyDescent="0.25">
      <c r="A484" s="6" t="s">
        <v>164</v>
      </c>
      <c r="B484" s="6" t="s">
        <v>69</v>
      </c>
      <c r="C484">
        <v>132.01560000000001</v>
      </c>
      <c r="D484">
        <v>132.5</v>
      </c>
      <c r="E484">
        <v>0.4844</v>
      </c>
      <c r="F484">
        <v>2583.4</v>
      </c>
    </row>
    <row r="485" spans="1:6" hidden="1" x14ac:dyDescent="0.25">
      <c r="A485" s="6" t="s">
        <v>165</v>
      </c>
      <c r="B485" s="6" t="s">
        <v>58</v>
      </c>
      <c r="C485">
        <v>608.221</v>
      </c>
      <c r="D485">
        <v>615.29300000000001</v>
      </c>
      <c r="E485">
        <v>7.0720000000000001</v>
      </c>
      <c r="F485">
        <v>530.4</v>
      </c>
    </row>
    <row r="486" spans="1:6" hidden="1" x14ac:dyDescent="0.25">
      <c r="A486" s="6" t="s">
        <v>165</v>
      </c>
      <c r="B486" s="6" t="s">
        <v>59</v>
      </c>
      <c r="C486">
        <v>600.60799999999995</v>
      </c>
      <c r="D486">
        <v>608.52</v>
      </c>
      <c r="E486">
        <v>7.9119999999999999</v>
      </c>
      <c r="F486">
        <v>593.4</v>
      </c>
    </row>
    <row r="487" spans="1:6" hidden="1" x14ac:dyDescent="0.25">
      <c r="A487" s="6" t="s">
        <v>165</v>
      </c>
      <c r="B487" s="6" t="s">
        <v>60</v>
      </c>
      <c r="C487">
        <v>594.98199999999997</v>
      </c>
      <c r="D487">
        <v>602.572</v>
      </c>
      <c r="E487">
        <v>7.59</v>
      </c>
      <c r="F487">
        <v>569.25</v>
      </c>
    </row>
    <row r="488" spans="1:6" hidden="1" x14ac:dyDescent="0.25">
      <c r="A488" s="6" t="s">
        <v>165</v>
      </c>
      <c r="B488" s="6" t="s">
        <v>61</v>
      </c>
      <c r="C488">
        <v>589.81899999999996</v>
      </c>
      <c r="D488">
        <v>596.83199999999999</v>
      </c>
      <c r="E488">
        <v>7.0129999999999999</v>
      </c>
      <c r="F488">
        <v>525.97</v>
      </c>
    </row>
    <row r="489" spans="1:6" hidden="1" x14ac:dyDescent="0.25">
      <c r="A489" s="6" t="s">
        <v>165</v>
      </c>
      <c r="B489" s="6" t="s">
        <v>68</v>
      </c>
      <c r="C489">
        <v>584.34400000000005</v>
      </c>
      <c r="D489">
        <v>591.79600000000005</v>
      </c>
      <c r="E489">
        <v>7.452</v>
      </c>
      <c r="F489">
        <v>558.9</v>
      </c>
    </row>
    <row r="490" spans="1:6" hidden="1" x14ac:dyDescent="0.25">
      <c r="A490" s="6" t="s">
        <v>166</v>
      </c>
      <c r="B490" s="6" t="s">
        <v>58</v>
      </c>
      <c r="C490">
        <v>8705</v>
      </c>
      <c r="D490">
        <v>8730.2000000000007</v>
      </c>
      <c r="E490">
        <v>25.2</v>
      </c>
      <c r="F490">
        <v>154.11000000000001</v>
      </c>
    </row>
    <row r="491" spans="1:6" hidden="1" x14ac:dyDescent="0.25">
      <c r="A491" s="6" t="s">
        <v>166</v>
      </c>
      <c r="B491" s="6" t="s">
        <v>59</v>
      </c>
      <c r="C491">
        <v>8856.2999999999993</v>
      </c>
      <c r="D491">
        <v>8868.5</v>
      </c>
      <c r="E491">
        <v>12.2</v>
      </c>
      <c r="F491">
        <v>74.61</v>
      </c>
    </row>
    <row r="492" spans="1:6" hidden="1" x14ac:dyDescent="0.25">
      <c r="A492" s="6" t="s">
        <v>166</v>
      </c>
      <c r="B492" s="6" t="s">
        <v>60</v>
      </c>
      <c r="C492">
        <v>8988.1</v>
      </c>
      <c r="D492">
        <v>9004</v>
      </c>
      <c r="E492">
        <v>15.9</v>
      </c>
      <c r="F492">
        <v>97.23</v>
      </c>
    </row>
    <row r="493" spans="1:6" hidden="1" x14ac:dyDescent="0.25">
      <c r="A493" s="6" t="s">
        <v>166</v>
      </c>
      <c r="B493" s="6" t="s">
        <v>61</v>
      </c>
      <c r="C493">
        <v>9124.5</v>
      </c>
      <c r="D493">
        <v>9148.7999999999993</v>
      </c>
      <c r="E493">
        <v>24.3</v>
      </c>
      <c r="F493">
        <v>148.6</v>
      </c>
    </row>
    <row r="494" spans="1:6" hidden="1" x14ac:dyDescent="0.25">
      <c r="A494" s="6" t="s">
        <v>166</v>
      </c>
      <c r="B494" s="6" t="s">
        <v>68</v>
      </c>
      <c r="C494">
        <v>9268</v>
      </c>
      <c r="D494">
        <v>9285.2000000000007</v>
      </c>
      <c r="E494">
        <v>17.2</v>
      </c>
      <c r="F494">
        <v>105.18</v>
      </c>
    </row>
    <row r="495" spans="1:6" hidden="1" x14ac:dyDescent="0.25">
      <c r="A495" s="6" t="s">
        <v>167</v>
      </c>
      <c r="B495" s="6" t="s">
        <v>58</v>
      </c>
      <c r="C495">
        <v>13.98</v>
      </c>
      <c r="D495">
        <v>13.78</v>
      </c>
      <c r="E495">
        <v>-0.2</v>
      </c>
      <c r="F495">
        <v>0.2</v>
      </c>
    </row>
    <row r="496" spans="1:6" hidden="1" x14ac:dyDescent="0.25">
      <c r="A496" s="6" t="s">
        <v>167</v>
      </c>
      <c r="B496" s="6" t="s">
        <v>59</v>
      </c>
      <c r="C496">
        <v>14.06</v>
      </c>
      <c r="D496">
        <v>13.86</v>
      </c>
      <c r="E496">
        <v>-0.2</v>
      </c>
      <c r="F496">
        <v>0.2</v>
      </c>
    </row>
    <row r="497" spans="1:6" hidden="1" x14ac:dyDescent="0.25">
      <c r="A497" s="6" t="s">
        <v>167</v>
      </c>
      <c r="B497" s="6" t="s">
        <v>60</v>
      </c>
      <c r="C497">
        <v>14.14</v>
      </c>
      <c r="D497">
        <v>13.94</v>
      </c>
      <c r="E497">
        <v>-0.2</v>
      </c>
      <c r="F497">
        <v>0.2</v>
      </c>
    </row>
    <row r="498" spans="1:6" hidden="1" x14ac:dyDescent="0.25">
      <c r="A498" s="6" t="s">
        <v>168</v>
      </c>
      <c r="B498" s="6" t="s">
        <v>58</v>
      </c>
      <c r="C498">
        <v>86.53</v>
      </c>
      <c r="D498">
        <v>83.66</v>
      </c>
      <c r="E498">
        <v>-2.87</v>
      </c>
      <c r="F498">
        <v>2.87</v>
      </c>
    </row>
    <row r="499" spans="1:6" hidden="1" x14ac:dyDescent="0.25">
      <c r="A499" s="6" t="s">
        <v>168</v>
      </c>
      <c r="B499" s="6" t="s">
        <v>59</v>
      </c>
      <c r="C499">
        <v>87.05</v>
      </c>
      <c r="D499">
        <v>84.16</v>
      </c>
      <c r="E499">
        <v>-2.89</v>
      </c>
      <c r="F499">
        <v>2.89</v>
      </c>
    </row>
    <row r="500" spans="1:6" hidden="1" x14ac:dyDescent="0.25">
      <c r="A500" s="6" t="s">
        <v>168</v>
      </c>
      <c r="B500" s="6" t="s">
        <v>60</v>
      </c>
      <c r="C500">
        <v>87.57</v>
      </c>
      <c r="D500">
        <v>84.66</v>
      </c>
      <c r="E500">
        <v>-2.91</v>
      </c>
      <c r="F500">
        <v>2.91</v>
      </c>
    </row>
    <row r="501" spans="1:6" hidden="1" x14ac:dyDescent="0.25">
      <c r="A501" s="6" t="s">
        <v>169</v>
      </c>
      <c r="B501" s="6" t="s">
        <v>58</v>
      </c>
      <c r="C501">
        <v>5294.5690000000004</v>
      </c>
      <c r="D501">
        <v>5371.6210000000001</v>
      </c>
      <c r="E501">
        <v>77.052000000000007</v>
      </c>
      <c r="F501">
        <v>770.52</v>
      </c>
    </row>
    <row r="502" spans="1:6" hidden="1" x14ac:dyDescent="0.25">
      <c r="A502" s="6" t="s">
        <v>169</v>
      </c>
      <c r="B502" s="6" t="s">
        <v>59</v>
      </c>
      <c r="C502">
        <v>5319.1610000000001</v>
      </c>
      <c r="D502">
        <v>5396.6760000000004</v>
      </c>
      <c r="E502">
        <v>77.515000000000001</v>
      </c>
      <c r="F502">
        <v>775.15</v>
      </c>
    </row>
    <row r="503" spans="1:6" hidden="1" x14ac:dyDescent="0.25">
      <c r="A503" s="6" t="s">
        <v>169</v>
      </c>
      <c r="B503" s="6" t="s">
        <v>60</v>
      </c>
      <c r="C503">
        <v>5347.7280000000001</v>
      </c>
      <c r="D503">
        <v>5425.5829999999996</v>
      </c>
      <c r="E503">
        <v>77.855000000000004</v>
      </c>
      <c r="F503">
        <v>778.55</v>
      </c>
    </row>
    <row r="504" spans="1:6" hidden="1" x14ac:dyDescent="0.25">
      <c r="A504" s="6" t="s">
        <v>169</v>
      </c>
      <c r="B504" s="6" t="s">
        <v>61</v>
      </c>
      <c r="C504">
        <v>5381.8469999999998</v>
      </c>
      <c r="D504">
        <v>5460.29</v>
      </c>
      <c r="E504">
        <v>78.442999999999998</v>
      </c>
      <c r="F504">
        <v>784.43</v>
      </c>
    </row>
    <row r="505" spans="1:6" hidden="1" x14ac:dyDescent="0.25">
      <c r="A505" s="6" t="s">
        <v>169</v>
      </c>
      <c r="B505" s="6" t="s">
        <v>68</v>
      </c>
      <c r="C505">
        <v>5415.7910000000002</v>
      </c>
      <c r="D505">
        <v>5494.8680000000004</v>
      </c>
      <c r="E505">
        <v>79.076999999999998</v>
      </c>
      <c r="F505">
        <v>790.77</v>
      </c>
    </row>
    <row r="506" spans="1:6" hidden="1" x14ac:dyDescent="0.25">
      <c r="A506" s="6" t="s">
        <v>169</v>
      </c>
      <c r="B506" s="6" t="s">
        <v>69</v>
      </c>
      <c r="C506">
        <v>5449.2049999999999</v>
      </c>
      <c r="D506">
        <v>5529.0649999999996</v>
      </c>
      <c r="E506">
        <v>79.86</v>
      </c>
      <c r="F506">
        <v>798.6</v>
      </c>
    </row>
    <row r="507" spans="1:6" hidden="1" x14ac:dyDescent="0.25">
      <c r="A507" s="6" t="s">
        <v>169</v>
      </c>
      <c r="B507" s="6" t="s">
        <v>70</v>
      </c>
      <c r="C507">
        <v>5489.3680000000004</v>
      </c>
      <c r="D507">
        <v>5569.3869999999997</v>
      </c>
      <c r="E507">
        <v>80.019000000000005</v>
      </c>
      <c r="F507">
        <v>800.19</v>
      </c>
    </row>
    <row r="508" spans="1:6" hidden="1" x14ac:dyDescent="0.25">
      <c r="A508" s="6" t="s">
        <v>169</v>
      </c>
      <c r="B508" s="6" t="s">
        <v>77</v>
      </c>
      <c r="C508">
        <v>5604.8040000000001</v>
      </c>
      <c r="D508">
        <v>5686.5119999999997</v>
      </c>
      <c r="E508">
        <v>81.707999999999998</v>
      </c>
      <c r="F508">
        <v>817.08</v>
      </c>
    </row>
    <row r="509" spans="1:6" hidden="1" x14ac:dyDescent="0.25">
      <c r="A509" s="6" t="s">
        <v>169</v>
      </c>
      <c r="B509" s="6" t="s">
        <v>72</v>
      </c>
      <c r="C509">
        <v>5730.35</v>
      </c>
      <c r="D509">
        <v>5813.348</v>
      </c>
      <c r="E509">
        <v>82.998000000000005</v>
      </c>
      <c r="F509">
        <v>829.98</v>
      </c>
    </row>
    <row r="510" spans="1:6" hidden="1" x14ac:dyDescent="0.25">
      <c r="A510" s="6" t="s">
        <v>169</v>
      </c>
      <c r="B510" s="6" t="s">
        <v>90</v>
      </c>
      <c r="C510">
        <v>5852.4880000000003</v>
      </c>
      <c r="D510">
        <v>5935.9359999999997</v>
      </c>
      <c r="E510">
        <v>83.447999999999993</v>
      </c>
      <c r="F510">
        <v>834.48</v>
      </c>
    </row>
    <row r="511" spans="1:6" hidden="1" x14ac:dyDescent="0.25">
      <c r="A511" s="6" t="s">
        <v>169</v>
      </c>
      <c r="B511" s="6" t="s">
        <v>111</v>
      </c>
      <c r="C511">
        <v>7002.1819999999998</v>
      </c>
      <c r="D511">
        <v>7092.63</v>
      </c>
      <c r="E511">
        <v>90.447999999999993</v>
      </c>
      <c r="F511">
        <v>904.48</v>
      </c>
    </row>
    <row r="512" spans="1:6" hidden="1" x14ac:dyDescent="0.25">
      <c r="A512" s="6" t="s">
        <v>170</v>
      </c>
      <c r="B512" s="6" t="s">
        <v>58</v>
      </c>
      <c r="C512">
        <v>6211.5609999999997</v>
      </c>
      <c r="D512">
        <v>6298.9470000000001</v>
      </c>
      <c r="E512">
        <v>87.385999999999996</v>
      </c>
      <c r="F512">
        <v>873.86</v>
      </c>
    </row>
    <row r="513" spans="1:6" hidden="1" x14ac:dyDescent="0.25">
      <c r="A513" s="6" t="s">
        <v>170</v>
      </c>
      <c r="B513" s="6" t="s">
        <v>59</v>
      </c>
      <c r="C513">
        <v>6244</v>
      </c>
      <c r="D513">
        <v>6331.924</v>
      </c>
      <c r="E513">
        <v>87.924000000000007</v>
      </c>
      <c r="F513">
        <v>879.24</v>
      </c>
    </row>
    <row r="514" spans="1:6" x14ac:dyDescent="0.25">
      <c r="A514" s="6" t="s">
        <v>171</v>
      </c>
      <c r="B514" s="6" t="s">
        <v>58</v>
      </c>
      <c r="C514">
        <v>111697</v>
      </c>
      <c r="D514">
        <v>109090</v>
      </c>
      <c r="E514">
        <v>-2607</v>
      </c>
      <c r="F514">
        <v>521.4</v>
      </c>
    </row>
    <row r="515" spans="1:6" hidden="1" x14ac:dyDescent="0.25">
      <c r="A515" s="6" t="s">
        <v>171</v>
      </c>
      <c r="B515" s="6" t="s">
        <v>60</v>
      </c>
      <c r="C515">
        <v>112925</v>
      </c>
      <c r="D515">
        <v>110288</v>
      </c>
      <c r="E515">
        <v>-2637</v>
      </c>
      <c r="F515">
        <v>527.4</v>
      </c>
    </row>
    <row r="516" spans="1:6" hidden="1" x14ac:dyDescent="0.25">
      <c r="A516" s="6" t="s">
        <v>171</v>
      </c>
      <c r="B516" s="6" t="s">
        <v>68</v>
      </c>
      <c r="C516">
        <v>114478</v>
      </c>
      <c r="D516">
        <v>111801</v>
      </c>
      <c r="E516">
        <v>-2677</v>
      </c>
      <c r="F516">
        <v>535.4</v>
      </c>
    </row>
    <row r="517" spans="1:6" hidden="1" x14ac:dyDescent="0.25">
      <c r="A517" s="6" t="s">
        <v>171</v>
      </c>
      <c r="B517" s="6" t="s">
        <v>70</v>
      </c>
      <c r="C517">
        <v>115956</v>
      </c>
      <c r="D517">
        <v>113234</v>
      </c>
      <c r="E517">
        <v>-2722</v>
      </c>
      <c r="F517">
        <v>544.4</v>
      </c>
    </row>
    <row r="518" spans="1:6" hidden="1" x14ac:dyDescent="0.25">
      <c r="A518" s="6" t="s">
        <v>171</v>
      </c>
      <c r="B518" s="6" t="s">
        <v>103</v>
      </c>
      <c r="C518">
        <v>117641</v>
      </c>
      <c r="D518">
        <v>114919</v>
      </c>
      <c r="E518">
        <v>-2722</v>
      </c>
      <c r="F518">
        <v>544.4</v>
      </c>
    </row>
    <row r="519" spans="1:6" hidden="1" x14ac:dyDescent="0.25">
      <c r="A519" s="6" t="s">
        <v>171</v>
      </c>
      <c r="B519" s="6" t="s">
        <v>89</v>
      </c>
      <c r="C519">
        <v>119511</v>
      </c>
      <c r="D519">
        <v>116695</v>
      </c>
      <c r="E519">
        <v>-2816</v>
      </c>
      <c r="F519">
        <v>563.20000000000005</v>
      </c>
    </row>
    <row r="520" spans="1:6" hidden="1" x14ac:dyDescent="0.25">
      <c r="A520" s="6" t="s">
        <v>171</v>
      </c>
      <c r="B520" s="6" t="s">
        <v>72</v>
      </c>
      <c r="C520">
        <v>121164</v>
      </c>
      <c r="D520">
        <v>118286</v>
      </c>
      <c r="E520">
        <v>-2878</v>
      </c>
      <c r="F520">
        <v>575.6</v>
      </c>
    </row>
    <row r="521" spans="1:6" hidden="1" x14ac:dyDescent="0.25">
      <c r="A521" s="6" t="s">
        <v>171</v>
      </c>
      <c r="B521" s="6" t="s">
        <v>139</v>
      </c>
      <c r="C521">
        <v>122987</v>
      </c>
      <c r="D521">
        <v>120032</v>
      </c>
      <c r="E521">
        <v>-2955</v>
      </c>
      <c r="F521">
        <v>591</v>
      </c>
    </row>
    <row r="522" spans="1:6" hidden="1" x14ac:dyDescent="0.25">
      <c r="A522" s="6" t="s">
        <v>171</v>
      </c>
      <c r="B522" s="6" t="s">
        <v>142</v>
      </c>
      <c r="C522">
        <v>125057</v>
      </c>
      <c r="D522">
        <v>122029</v>
      </c>
      <c r="E522">
        <v>-3028</v>
      </c>
      <c r="F522">
        <v>605.6</v>
      </c>
    </row>
    <row r="523" spans="1:6" hidden="1" x14ac:dyDescent="0.25">
      <c r="A523" s="6" t="s">
        <v>171</v>
      </c>
      <c r="B523" s="6" t="s">
        <v>104</v>
      </c>
      <c r="C523">
        <v>126829</v>
      </c>
      <c r="D523">
        <v>123742</v>
      </c>
      <c r="E523">
        <v>-3087</v>
      </c>
      <c r="F523">
        <v>617.4</v>
      </c>
    </row>
    <row r="524" spans="1:6" hidden="1" x14ac:dyDescent="0.25">
      <c r="A524" s="6" t="s">
        <v>171</v>
      </c>
      <c r="B524" s="6" t="s">
        <v>143</v>
      </c>
      <c r="C524">
        <v>128951</v>
      </c>
      <c r="D524">
        <v>125794</v>
      </c>
      <c r="E524">
        <v>-3157</v>
      </c>
      <c r="F524">
        <v>631.4</v>
      </c>
    </row>
    <row r="525" spans="1:6" hidden="1" x14ac:dyDescent="0.25">
      <c r="A525" s="6" t="s">
        <v>171</v>
      </c>
      <c r="B525" s="6" t="s">
        <v>144</v>
      </c>
      <c r="C525">
        <v>131235</v>
      </c>
      <c r="D525">
        <v>128018</v>
      </c>
      <c r="E525">
        <v>-3217</v>
      </c>
      <c r="F525">
        <v>643.4</v>
      </c>
    </row>
    <row r="526" spans="1:6" hidden="1" x14ac:dyDescent="0.25">
      <c r="A526" s="6" t="s">
        <v>171</v>
      </c>
      <c r="B526" s="6" t="s">
        <v>106</v>
      </c>
      <c r="C526">
        <v>133446</v>
      </c>
      <c r="D526">
        <v>130167</v>
      </c>
      <c r="E526">
        <v>-3279</v>
      </c>
      <c r="F526">
        <v>655.8</v>
      </c>
    </row>
    <row r="527" spans="1:6" hidden="1" x14ac:dyDescent="0.25">
      <c r="A527" s="6" t="s">
        <v>172</v>
      </c>
      <c r="B527" s="6" t="s">
        <v>60</v>
      </c>
      <c r="C527">
        <v>4413.25</v>
      </c>
      <c r="D527">
        <v>4347</v>
      </c>
      <c r="E527">
        <v>-66.25</v>
      </c>
      <c r="F527">
        <v>887.38</v>
      </c>
    </row>
    <row r="528" spans="1:6" hidden="1" x14ac:dyDescent="0.25">
      <c r="A528" s="6" t="s">
        <v>172</v>
      </c>
      <c r="B528" s="6" t="s">
        <v>69</v>
      </c>
      <c r="C528">
        <v>4417</v>
      </c>
      <c r="D528">
        <v>4346</v>
      </c>
      <c r="E528">
        <v>-71</v>
      </c>
      <c r="F528">
        <v>951</v>
      </c>
    </row>
    <row r="529" spans="1:6" hidden="1" x14ac:dyDescent="0.25">
      <c r="A529" s="6" t="s">
        <v>173</v>
      </c>
      <c r="B529" s="6" t="s">
        <v>58</v>
      </c>
      <c r="C529">
        <v>3581.3989999999999</v>
      </c>
      <c r="D529">
        <v>3620.5250000000001</v>
      </c>
      <c r="E529">
        <v>39.125999999999998</v>
      </c>
      <c r="F529">
        <v>1369.41</v>
      </c>
    </row>
    <row r="530" spans="1:6" hidden="1" x14ac:dyDescent="0.25">
      <c r="A530" s="6" t="s">
        <v>173</v>
      </c>
      <c r="B530" s="6" t="s">
        <v>59</v>
      </c>
      <c r="C530">
        <v>3581.3020000000001</v>
      </c>
      <c r="D530">
        <v>3622.0929999999998</v>
      </c>
      <c r="E530">
        <v>40.790999999999997</v>
      </c>
      <c r="F530">
        <v>1427.68</v>
      </c>
    </row>
    <row r="531" spans="1:6" hidden="1" x14ac:dyDescent="0.25">
      <c r="A531" s="6" t="s">
        <v>173</v>
      </c>
      <c r="B531" s="6" t="s">
        <v>60</v>
      </c>
      <c r="C531">
        <v>3585.5630000000001</v>
      </c>
      <c r="D531">
        <v>3626.1759999999999</v>
      </c>
      <c r="E531">
        <v>40.613</v>
      </c>
      <c r="F531">
        <v>1421.45</v>
      </c>
    </row>
    <row r="532" spans="1:6" hidden="1" x14ac:dyDescent="0.25">
      <c r="A532" s="6" t="s">
        <v>173</v>
      </c>
      <c r="B532" s="6" t="s">
        <v>61</v>
      </c>
      <c r="C532">
        <v>3592.01</v>
      </c>
      <c r="D532">
        <v>3631.4119999999998</v>
      </c>
      <c r="E532">
        <v>39.402000000000001</v>
      </c>
      <c r="F532">
        <v>1379.07</v>
      </c>
    </row>
    <row r="533" spans="1:6" hidden="1" x14ac:dyDescent="0.25">
      <c r="A533" s="6" t="s">
        <v>173</v>
      </c>
      <c r="B533" s="6" t="s">
        <v>68</v>
      </c>
      <c r="C533">
        <v>3599</v>
      </c>
      <c r="D533">
        <v>3638.9679999999998</v>
      </c>
      <c r="E533">
        <v>39.968000000000004</v>
      </c>
      <c r="F533">
        <v>1398.88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0D1E1-2BFB-4F92-A58E-0749E6AEFB84}">
  <sheetPr codeName="Planilha1"/>
  <dimension ref="A1:Z149"/>
  <sheetViews>
    <sheetView topLeftCell="A4" zoomScale="85" zoomScaleNormal="85" workbookViewId="0">
      <selection activeCell="H8" sqref="H8"/>
    </sheetView>
  </sheetViews>
  <sheetFormatPr defaultRowHeight="15" x14ac:dyDescent="0.25"/>
  <cols>
    <col min="1" max="1" width="11.85546875" bestFit="1" customWidth="1"/>
    <col min="2" max="2" width="11.85546875" style="5" bestFit="1" customWidth="1"/>
    <col min="3" max="3" width="14.7109375" style="3" bestFit="1" customWidth="1"/>
    <col min="4" max="4" width="14.28515625" style="3" bestFit="1" customWidth="1"/>
    <col min="5" max="5" width="13.42578125" style="3" bestFit="1" customWidth="1"/>
    <col min="6" max="6" width="10.85546875" customWidth="1"/>
  </cols>
  <sheetData>
    <row r="1" spans="1:26" x14ac:dyDescent="0.25">
      <c r="A1" t="s">
        <v>1</v>
      </c>
      <c r="C1" s="3" t="s">
        <v>181</v>
      </c>
      <c r="D1" s="3" t="s">
        <v>182</v>
      </c>
      <c r="E1" s="3" t="s">
        <v>0</v>
      </c>
      <c r="F1" t="s">
        <v>2</v>
      </c>
    </row>
    <row r="2" spans="1:26" x14ac:dyDescent="0.25">
      <c r="A2" s="2">
        <v>44410</v>
      </c>
      <c r="B2" s="5">
        <v>44410</v>
      </c>
      <c r="C2" s="4">
        <f>'020821'!A2</f>
        <v>23392</v>
      </c>
      <c r="D2" s="4"/>
      <c r="E2" s="4">
        <v>123180</v>
      </c>
      <c r="F2">
        <v>122571</v>
      </c>
    </row>
    <row r="3" spans="1:26" x14ac:dyDescent="0.25">
      <c r="A3" s="2">
        <v>44411</v>
      </c>
      <c r="B3" s="5">
        <v>44411</v>
      </c>
      <c r="C3" s="4">
        <v>110962</v>
      </c>
      <c r="D3" s="4"/>
      <c r="E3" s="4">
        <f>123230</f>
        <v>123230</v>
      </c>
      <c r="F3">
        <v>123656</v>
      </c>
    </row>
    <row r="4" spans="1:26" x14ac:dyDescent="0.25">
      <c r="A4" s="2">
        <v>44412</v>
      </c>
      <c r="B4" s="5">
        <v>44412</v>
      </c>
      <c r="C4" s="4">
        <v>57730</v>
      </c>
      <c r="D4" s="4"/>
      <c r="E4" s="4">
        <v>122020</v>
      </c>
      <c r="F4">
        <v>121928</v>
      </c>
    </row>
    <row r="5" spans="1:26" x14ac:dyDescent="0.25">
      <c r="A5" s="2">
        <v>44413</v>
      </c>
      <c r="B5" s="5">
        <v>44413</v>
      </c>
      <c r="C5" s="4">
        <v>3680</v>
      </c>
      <c r="D5" s="4"/>
      <c r="E5" s="4">
        <v>121100</v>
      </c>
      <c r="F5">
        <v>121740</v>
      </c>
    </row>
    <row r="6" spans="1:26" x14ac:dyDescent="0.25">
      <c r="A6" s="2">
        <v>44414</v>
      </c>
      <c r="B6" s="5">
        <v>44414</v>
      </c>
      <c r="C6" s="4">
        <v>46990</v>
      </c>
      <c r="D6" s="4"/>
      <c r="E6" s="4">
        <v>123070</v>
      </c>
      <c r="F6">
        <v>123898</v>
      </c>
    </row>
    <row r="7" spans="1:26" x14ac:dyDescent="0.25">
      <c r="A7" s="2">
        <v>44417</v>
      </c>
      <c r="B7" s="5">
        <v>44417</v>
      </c>
      <c r="C7" s="4">
        <v>10100</v>
      </c>
      <c r="D7" s="4"/>
      <c r="E7" s="4">
        <v>123015</v>
      </c>
      <c r="F7">
        <v>123016</v>
      </c>
    </row>
    <row r="8" spans="1:26" x14ac:dyDescent="0.25">
      <c r="A8" s="2">
        <v>44418</v>
      </c>
      <c r="B8" s="5">
        <v>44418</v>
      </c>
      <c r="C8" s="4">
        <v>-48822</v>
      </c>
      <c r="D8" s="4"/>
      <c r="E8" s="4">
        <v>122450</v>
      </c>
      <c r="F8">
        <v>122350</v>
      </c>
    </row>
    <row r="9" spans="1:26" x14ac:dyDescent="0.25">
      <c r="A9" s="2">
        <v>44419</v>
      </c>
      <c r="B9" s="5">
        <v>44419</v>
      </c>
      <c r="C9" s="4">
        <v>42000</v>
      </c>
      <c r="D9" s="4"/>
      <c r="E9" s="4">
        <v>122030</v>
      </c>
      <c r="F9">
        <v>122100</v>
      </c>
    </row>
    <row r="10" spans="1:26" x14ac:dyDescent="0.25">
      <c r="A10" s="2">
        <v>44420</v>
      </c>
      <c r="B10" s="5">
        <v>44420</v>
      </c>
      <c r="C10" s="4">
        <f>'120821'!B43</f>
        <v>-11745</v>
      </c>
      <c r="D10" s="4"/>
      <c r="E10" s="4">
        <v>120700</v>
      </c>
      <c r="F10">
        <v>120580</v>
      </c>
    </row>
    <row r="11" spans="1:26" x14ac:dyDescent="0.25">
      <c r="A11" s="2">
        <v>44421</v>
      </c>
      <c r="B11" s="5">
        <v>44421</v>
      </c>
      <c r="C11" s="4">
        <f>'130821'!$A$2</f>
        <v>3407</v>
      </c>
      <c r="D11" s="4"/>
      <c r="E11" s="4">
        <v>121195</v>
      </c>
      <c r="F11">
        <v>121200</v>
      </c>
      <c r="Z11" t="s">
        <v>177</v>
      </c>
    </row>
    <row r="12" spans="1:26" x14ac:dyDescent="0.25">
      <c r="A12" s="2">
        <v>44424</v>
      </c>
      <c r="B12" s="5">
        <v>44424</v>
      </c>
      <c r="C12" s="4">
        <f>'160821'!$A$2</f>
        <v>23392</v>
      </c>
      <c r="D12" s="4"/>
      <c r="E12" s="4">
        <v>119630</v>
      </c>
      <c r="F12">
        <v>119180</v>
      </c>
    </row>
    <row r="13" spans="1:26" x14ac:dyDescent="0.25">
      <c r="A13" s="2">
        <v>44425</v>
      </c>
      <c r="B13" s="5">
        <v>44425</v>
      </c>
      <c r="C13" s="4">
        <f>'170821'!A2</f>
        <v>5139</v>
      </c>
      <c r="D13" s="4"/>
      <c r="E13" s="4">
        <v>117980</v>
      </c>
      <c r="F13">
        <v>116900</v>
      </c>
      <c r="Z13" t="s">
        <v>178</v>
      </c>
    </row>
    <row r="14" spans="1:26" x14ac:dyDescent="0.25">
      <c r="A14" s="2">
        <v>44426</v>
      </c>
      <c r="B14" s="5">
        <v>44426</v>
      </c>
      <c r="C14" s="4">
        <f>'180821'!A2</f>
        <v>51597</v>
      </c>
      <c r="D14" s="4"/>
      <c r="E14" s="4">
        <v>116640</v>
      </c>
      <c r="F14">
        <v>117156</v>
      </c>
    </row>
    <row r="15" spans="1:26" x14ac:dyDescent="0.25">
      <c r="A15" s="2">
        <v>44427</v>
      </c>
      <c r="B15" s="5">
        <v>44427</v>
      </c>
      <c r="C15" s="4">
        <f>'190821'!A2</f>
        <v>-50854</v>
      </c>
      <c r="D15" s="4"/>
      <c r="E15" s="18">
        <v>117164</v>
      </c>
      <c r="F15" s="19">
        <v>117958</v>
      </c>
    </row>
    <row r="16" spans="1:26" x14ac:dyDescent="0.25">
      <c r="A16" s="2">
        <v>44428</v>
      </c>
      <c r="B16" s="5">
        <v>44428</v>
      </c>
      <c r="C16">
        <v>-15840</v>
      </c>
      <c r="D16"/>
      <c r="E16" s="19">
        <v>118758</v>
      </c>
      <c r="F16" s="19">
        <v>118758</v>
      </c>
    </row>
    <row r="17" spans="1:6" x14ac:dyDescent="0.25">
      <c r="A17" s="2">
        <v>44431</v>
      </c>
      <c r="B17" s="5">
        <v>44431</v>
      </c>
      <c r="C17" s="4">
        <v>-7873</v>
      </c>
      <c r="D17" s="4">
        <v>-2815</v>
      </c>
      <c r="E17" s="19">
        <v>118060</v>
      </c>
      <c r="F17" s="19">
        <v>118116</v>
      </c>
    </row>
    <row r="18" spans="1:6" x14ac:dyDescent="0.25">
      <c r="A18" s="2">
        <v>44432</v>
      </c>
      <c r="B18" s="5">
        <v>44432</v>
      </c>
      <c r="C18" s="4">
        <v>69637</v>
      </c>
      <c r="D18" s="4">
        <v>1385</v>
      </c>
      <c r="E18" s="4">
        <v>121275</v>
      </c>
      <c r="F18" s="20">
        <v>120815</v>
      </c>
    </row>
    <row r="19" spans="1:6" x14ac:dyDescent="0.25">
      <c r="A19" s="2">
        <v>44433</v>
      </c>
      <c r="B19" s="5">
        <v>44433</v>
      </c>
      <c r="C19" s="4">
        <v>-6262</v>
      </c>
      <c r="D19" s="4">
        <v>2740</v>
      </c>
      <c r="E19" s="4">
        <v>121390</v>
      </c>
      <c r="F19">
        <v>121450</v>
      </c>
    </row>
    <row r="20" spans="1:6" x14ac:dyDescent="0.25">
      <c r="A20" s="2">
        <v>44434</v>
      </c>
      <c r="B20" s="5">
        <v>44434</v>
      </c>
      <c r="C20" s="4">
        <v>-8673</v>
      </c>
      <c r="D20" s="4">
        <v>1360</v>
      </c>
      <c r="E20" s="4">
        <v>119575</v>
      </c>
      <c r="F20">
        <v>119243</v>
      </c>
    </row>
    <row r="21" spans="1:6" x14ac:dyDescent="0.25">
      <c r="A21" s="2">
        <v>44435</v>
      </c>
      <c r="B21" s="5">
        <v>44435</v>
      </c>
      <c r="C21" s="4">
        <v>49608</v>
      </c>
      <c r="D21" s="4">
        <v>1310</v>
      </c>
      <c r="E21" s="4">
        <v>120850</v>
      </c>
      <c r="F21">
        <v>121345</v>
      </c>
    </row>
    <row r="22" spans="1:6" x14ac:dyDescent="0.25">
      <c r="A22" s="2">
        <v>44438</v>
      </c>
      <c r="B22" s="5">
        <v>44438</v>
      </c>
      <c r="C22" s="4">
        <v>-32489</v>
      </c>
      <c r="D22" s="4">
        <v>4225</v>
      </c>
      <c r="E22" s="4">
        <v>120630</v>
      </c>
      <c r="F22">
        <v>120280</v>
      </c>
    </row>
    <row r="23" spans="1:6" x14ac:dyDescent="0.25">
      <c r="A23" s="2">
        <v>44439</v>
      </c>
      <c r="B23" s="5">
        <v>44439</v>
      </c>
      <c r="C23" s="4">
        <v>-35546</v>
      </c>
      <c r="D23" s="4">
        <v>3360</v>
      </c>
      <c r="E23" s="4">
        <v>119200</v>
      </c>
      <c r="F23">
        <v>119000</v>
      </c>
    </row>
    <row r="24" spans="1:6" x14ac:dyDescent="0.25">
      <c r="A24" s="2">
        <v>44440</v>
      </c>
      <c r="B24" s="5">
        <v>44440</v>
      </c>
      <c r="C24" s="4">
        <v>50088</v>
      </c>
      <c r="D24" s="4">
        <v>-3040</v>
      </c>
      <c r="E24" s="4">
        <v>119180</v>
      </c>
      <c r="F24">
        <v>119840</v>
      </c>
    </row>
    <row r="25" spans="1:6" x14ac:dyDescent="0.25">
      <c r="A25" s="2">
        <v>44441</v>
      </c>
      <c r="B25" s="5">
        <v>44441</v>
      </c>
      <c r="C25" s="4">
        <v>-23138</v>
      </c>
      <c r="D25" s="4">
        <v>10010</v>
      </c>
      <c r="E25" s="4">
        <v>117160</v>
      </c>
      <c r="F25" s="4">
        <v>117112</v>
      </c>
    </row>
    <row r="26" spans="1:6" x14ac:dyDescent="0.25">
      <c r="A26" s="2">
        <v>44442</v>
      </c>
      <c r="B26" s="5">
        <v>44442</v>
      </c>
      <c r="C26" s="4">
        <v>26125</v>
      </c>
      <c r="D26" s="4">
        <v>-3515</v>
      </c>
      <c r="E26" s="4">
        <v>116855</v>
      </c>
      <c r="F26" s="4">
        <v>117198</v>
      </c>
    </row>
    <row r="27" spans="1:6" x14ac:dyDescent="0.25">
      <c r="A27" s="2">
        <v>44445</v>
      </c>
      <c r="B27" s="5">
        <v>44445</v>
      </c>
      <c r="C27" s="4">
        <v>41071</v>
      </c>
      <c r="D27" s="4">
        <v>2870</v>
      </c>
      <c r="E27" s="4">
        <v>118370</v>
      </c>
      <c r="F27" s="4">
        <v>118336</v>
      </c>
    </row>
    <row r="28" spans="1:6" x14ac:dyDescent="0.25">
      <c r="A28" s="2">
        <v>44447</v>
      </c>
      <c r="B28" s="5">
        <v>44447</v>
      </c>
      <c r="C28" s="4">
        <v>-28343</v>
      </c>
      <c r="D28" s="4">
        <v>2175</v>
      </c>
      <c r="E28" s="4">
        <v>113830</v>
      </c>
      <c r="F28" s="4">
        <v>113750</v>
      </c>
    </row>
    <row r="29" spans="1:6" x14ac:dyDescent="0.25">
      <c r="A29" s="2">
        <v>44448</v>
      </c>
      <c r="B29" s="5">
        <v>44448</v>
      </c>
      <c r="C29" s="4">
        <v>10508</v>
      </c>
      <c r="D29" s="4">
        <v>-4340</v>
      </c>
      <c r="E29" s="4">
        <v>117080</v>
      </c>
      <c r="F29" s="4">
        <v>115890</v>
      </c>
    </row>
    <row r="30" spans="1:6" x14ac:dyDescent="0.25">
      <c r="A30" s="2">
        <v>44449</v>
      </c>
      <c r="B30" s="5">
        <v>44449</v>
      </c>
      <c r="C30" s="4">
        <v>43286</v>
      </c>
      <c r="D30" s="4">
        <v>-6195</v>
      </c>
      <c r="E30" s="4">
        <v>114680</v>
      </c>
      <c r="F30" s="4">
        <v>114660</v>
      </c>
    </row>
    <row r="31" spans="1:6" x14ac:dyDescent="0.25">
      <c r="A31" s="2">
        <v>44452</v>
      </c>
      <c r="B31" s="5">
        <v>44452</v>
      </c>
      <c r="C31" s="4">
        <v>64650</v>
      </c>
      <c r="D31" s="4">
        <v>-3155</v>
      </c>
      <c r="E31" s="4">
        <v>116680</v>
      </c>
      <c r="F31" s="4">
        <v>116870</v>
      </c>
    </row>
    <row r="32" spans="1:6" x14ac:dyDescent="0.25">
      <c r="A32" s="2">
        <v>44453</v>
      </c>
      <c r="B32" s="5">
        <v>44453</v>
      </c>
      <c r="C32" s="4">
        <v>-36913</v>
      </c>
      <c r="D32" s="4">
        <v>1550</v>
      </c>
      <c r="E32" s="4">
        <v>116900</v>
      </c>
      <c r="F32" s="4">
        <v>116505</v>
      </c>
    </row>
    <row r="33" spans="1:6" x14ac:dyDescent="0.25">
      <c r="A33" s="2">
        <v>44454</v>
      </c>
      <c r="B33" s="5">
        <v>44454</v>
      </c>
      <c r="C33" s="4"/>
      <c r="D33" s="4"/>
      <c r="E33" s="4"/>
      <c r="F33" s="4"/>
    </row>
    <row r="34" spans="1:6" x14ac:dyDescent="0.25">
      <c r="A34" s="2">
        <v>44455</v>
      </c>
      <c r="B34" s="5">
        <v>44455</v>
      </c>
    </row>
    <row r="35" spans="1:6" x14ac:dyDescent="0.25">
      <c r="A35" s="2">
        <v>44456</v>
      </c>
      <c r="B35" s="5">
        <v>44456</v>
      </c>
    </row>
    <row r="36" spans="1:6" x14ac:dyDescent="0.25">
      <c r="A36" s="2">
        <v>44459</v>
      </c>
      <c r="B36" s="5">
        <v>44459</v>
      </c>
    </row>
    <row r="37" spans="1:6" x14ac:dyDescent="0.25">
      <c r="A37" s="2">
        <v>44460</v>
      </c>
      <c r="B37" s="5">
        <v>44460</v>
      </c>
    </row>
    <row r="38" spans="1:6" x14ac:dyDescent="0.25">
      <c r="A38" s="2">
        <v>44461</v>
      </c>
      <c r="B38" s="5">
        <v>44461</v>
      </c>
    </row>
    <row r="39" spans="1:6" x14ac:dyDescent="0.25">
      <c r="A39" s="2">
        <v>44462</v>
      </c>
      <c r="B39" s="5">
        <v>44462</v>
      </c>
    </row>
    <row r="40" spans="1:6" x14ac:dyDescent="0.25">
      <c r="A40" s="2">
        <v>44463</v>
      </c>
      <c r="B40" s="5">
        <v>44463</v>
      </c>
    </row>
    <row r="41" spans="1:6" x14ac:dyDescent="0.25">
      <c r="A41" s="2">
        <v>44466</v>
      </c>
      <c r="B41" s="5">
        <v>44466</v>
      </c>
    </row>
    <row r="42" spans="1:6" x14ac:dyDescent="0.25">
      <c r="A42" s="2">
        <v>44467</v>
      </c>
      <c r="B42" s="5">
        <v>44467</v>
      </c>
    </row>
    <row r="43" spans="1:6" x14ac:dyDescent="0.25">
      <c r="A43" s="2">
        <v>44468</v>
      </c>
      <c r="B43" s="5">
        <v>44468</v>
      </c>
    </row>
    <row r="44" spans="1:6" x14ac:dyDescent="0.25">
      <c r="A44" s="2">
        <v>44469</v>
      </c>
      <c r="B44" s="5">
        <v>44469</v>
      </c>
    </row>
    <row r="45" spans="1:6" x14ac:dyDescent="0.25">
      <c r="A45" s="2">
        <v>44470</v>
      </c>
      <c r="B45" s="5">
        <v>44470</v>
      </c>
    </row>
    <row r="46" spans="1:6" x14ac:dyDescent="0.25">
      <c r="A46" s="2">
        <v>44473</v>
      </c>
      <c r="B46" s="5">
        <v>44473</v>
      </c>
    </row>
    <row r="47" spans="1:6" x14ac:dyDescent="0.25">
      <c r="A47" s="2">
        <v>44474</v>
      </c>
      <c r="B47" s="5">
        <v>44474</v>
      </c>
    </row>
    <row r="48" spans="1:6" x14ac:dyDescent="0.25">
      <c r="A48" s="2">
        <v>44475</v>
      </c>
      <c r="B48" s="5">
        <v>44475</v>
      </c>
    </row>
    <row r="49" spans="1:2" x14ac:dyDescent="0.25">
      <c r="A49" s="2">
        <v>44476</v>
      </c>
      <c r="B49" s="5">
        <v>44476</v>
      </c>
    </row>
    <row r="50" spans="1:2" x14ac:dyDescent="0.25">
      <c r="A50" s="2">
        <v>44477</v>
      </c>
      <c r="B50" s="5">
        <v>44477</v>
      </c>
    </row>
    <row r="51" spans="1:2" x14ac:dyDescent="0.25">
      <c r="A51" s="2">
        <v>44480</v>
      </c>
      <c r="B51" s="5">
        <v>44480</v>
      </c>
    </row>
    <row r="52" spans="1:2" x14ac:dyDescent="0.25">
      <c r="A52" s="2">
        <v>44481</v>
      </c>
      <c r="B52" s="5">
        <v>44481</v>
      </c>
    </row>
    <row r="53" spans="1:2" x14ac:dyDescent="0.25">
      <c r="A53" s="2">
        <v>44482</v>
      </c>
      <c r="B53" s="5">
        <v>44482</v>
      </c>
    </row>
    <row r="54" spans="1:2" x14ac:dyDescent="0.25">
      <c r="A54" s="2">
        <v>44483</v>
      </c>
      <c r="B54" s="5">
        <v>44483</v>
      </c>
    </row>
    <row r="55" spans="1:2" x14ac:dyDescent="0.25">
      <c r="A55" s="2">
        <v>44484</v>
      </c>
      <c r="B55" s="5">
        <v>44484</v>
      </c>
    </row>
    <row r="56" spans="1:2" x14ac:dyDescent="0.25">
      <c r="A56" s="2">
        <v>44487</v>
      </c>
      <c r="B56" s="5">
        <v>44487</v>
      </c>
    </row>
    <row r="57" spans="1:2" x14ac:dyDescent="0.25">
      <c r="A57" s="2">
        <v>44488</v>
      </c>
      <c r="B57" s="5">
        <v>44488</v>
      </c>
    </row>
    <row r="58" spans="1:2" x14ac:dyDescent="0.25">
      <c r="A58" s="2">
        <v>44489</v>
      </c>
      <c r="B58" s="5">
        <v>44489</v>
      </c>
    </row>
    <row r="59" spans="1:2" x14ac:dyDescent="0.25">
      <c r="A59" s="2">
        <v>44490</v>
      </c>
      <c r="B59" s="5">
        <v>44490</v>
      </c>
    </row>
    <row r="60" spans="1:2" x14ac:dyDescent="0.25">
      <c r="A60" s="2">
        <v>44491</v>
      </c>
      <c r="B60" s="5">
        <v>44491</v>
      </c>
    </row>
    <row r="61" spans="1:2" x14ac:dyDescent="0.25">
      <c r="A61" s="2">
        <v>44494</v>
      </c>
      <c r="B61" s="5">
        <v>44494</v>
      </c>
    </row>
    <row r="62" spans="1:2" x14ac:dyDescent="0.25">
      <c r="A62" s="2">
        <v>44495</v>
      </c>
      <c r="B62" s="5">
        <v>44495</v>
      </c>
    </row>
    <row r="63" spans="1:2" x14ac:dyDescent="0.25">
      <c r="A63" s="2">
        <v>44496</v>
      </c>
      <c r="B63" s="5">
        <v>44496</v>
      </c>
    </row>
    <row r="64" spans="1:2" x14ac:dyDescent="0.25">
      <c r="A64" s="2">
        <v>44497</v>
      </c>
      <c r="B64" s="5">
        <v>44497</v>
      </c>
    </row>
    <row r="65" spans="1:2" x14ac:dyDescent="0.25">
      <c r="A65" s="2">
        <v>44498</v>
      </c>
      <c r="B65" s="5">
        <v>44498</v>
      </c>
    </row>
    <row r="66" spans="1:2" x14ac:dyDescent="0.25">
      <c r="A66" s="2">
        <v>44501</v>
      </c>
      <c r="B66" s="5">
        <v>44501</v>
      </c>
    </row>
    <row r="67" spans="1:2" x14ac:dyDescent="0.25">
      <c r="A67" s="2">
        <v>44502</v>
      </c>
      <c r="B67" s="5">
        <v>44502</v>
      </c>
    </row>
    <row r="68" spans="1:2" x14ac:dyDescent="0.25">
      <c r="A68" s="2">
        <v>44503</v>
      </c>
      <c r="B68" s="5">
        <v>44503</v>
      </c>
    </row>
    <row r="69" spans="1:2" x14ac:dyDescent="0.25">
      <c r="A69" s="2">
        <v>44504</v>
      </c>
      <c r="B69" s="5">
        <v>44504</v>
      </c>
    </row>
    <row r="70" spans="1:2" x14ac:dyDescent="0.25">
      <c r="A70" s="2">
        <v>44505</v>
      </c>
      <c r="B70" s="5">
        <v>44505</v>
      </c>
    </row>
    <row r="71" spans="1:2" x14ac:dyDescent="0.25">
      <c r="A71" s="2">
        <v>44508</v>
      </c>
      <c r="B71" s="5">
        <v>44508</v>
      </c>
    </row>
    <row r="72" spans="1:2" x14ac:dyDescent="0.25">
      <c r="A72" s="2">
        <v>44509</v>
      </c>
      <c r="B72" s="5">
        <v>44509</v>
      </c>
    </row>
    <row r="73" spans="1:2" x14ac:dyDescent="0.25">
      <c r="A73" s="2">
        <v>44510</v>
      </c>
      <c r="B73" s="5">
        <v>44510</v>
      </c>
    </row>
    <row r="74" spans="1:2" x14ac:dyDescent="0.25">
      <c r="A74" s="2">
        <v>44511</v>
      </c>
      <c r="B74" s="5">
        <v>44511</v>
      </c>
    </row>
    <row r="75" spans="1:2" x14ac:dyDescent="0.25">
      <c r="A75" s="2">
        <v>44512</v>
      </c>
      <c r="B75" s="5">
        <v>44512</v>
      </c>
    </row>
    <row r="76" spans="1:2" x14ac:dyDescent="0.25">
      <c r="A76" s="2">
        <v>44515</v>
      </c>
      <c r="B76" s="5">
        <v>44515</v>
      </c>
    </row>
    <row r="77" spans="1:2" x14ac:dyDescent="0.25">
      <c r="A77" s="2">
        <v>44516</v>
      </c>
      <c r="B77" s="5">
        <v>44516</v>
      </c>
    </row>
    <row r="78" spans="1:2" x14ac:dyDescent="0.25">
      <c r="A78" s="2">
        <v>44517</v>
      </c>
      <c r="B78" s="5">
        <v>44517</v>
      </c>
    </row>
    <row r="79" spans="1:2" x14ac:dyDescent="0.25">
      <c r="A79" s="2">
        <v>44518</v>
      </c>
      <c r="B79" s="5">
        <v>44518</v>
      </c>
    </row>
    <row r="80" spans="1:2" x14ac:dyDescent="0.25">
      <c r="A80" s="2">
        <v>44519</v>
      </c>
      <c r="B80" s="5">
        <v>44519</v>
      </c>
    </row>
    <row r="81" spans="1:2" x14ac:dyDescent="0.25">
      <c r="A81" s="2">
        <v>44522</v>
      </c>
      <c r="B81" s="5">
        <v>44522</v>
      </c>
    </row>
    <row r="82" spans="1:2" x14ac:dyDescent="0.25">
      <c r="A82" s="2">
        <v>44523</v>
      </c>
      <c r="B82" s="5">
        <v>44523</v>
      </c>
    </row>
    <row r="83" spans="1:2" x14ac:dyDescent="0.25">
      <c r="A83" s="2">
        <v>44524</v>
      </c>
      <c r="B83" s="5">
        <v>44524</v>
      </c>
    </row>
    <row r="84" spans="1:2" x14ac:dyDescent="0.25">
      <c r="A84" s="2">
        <v>44525</v>
      </c>
      <c r="B84" s="5">
        <v>44525</v>
      </c>
    </row>
    <row r="85" spans="1:2" x14ac:dyDescent="0.25">
      <c r="A85" s="2">
        <v>44526</v>
      </c>
      <c r="B85" s="5">
        <v>44526</v>
      </c>
    </row>
    <row r="86" spans="1:2" x14ac:dyDescent="0.25">
      <c r="A86" s="2">
        <v>44529</v>
      </c>
      <c r="B86" s="5">
        <v>44529</v>
      </c>
    </row>
    <row r="87" spans="1:2" x14ac:dyDescent="0.25">
      <c r="A87" s="2">
        <v>44530</v>
      </c>
      <c r="B87" s="5">
        <v>44530</v>
      </c>
    </row>
    <row r="88" spans="1:2" x14ac:dyDescent="0.25">
      <c r="A88" s="2">
        <v>44531</v>
      </c>
      <c r="B88" s="5">
        <v>44531</v>
      </c>
    </row>
    <row r="89" spans="1:2" x14ac:dyDescent="0.25">
      <c r="A89" s="2">
        <v>44532</v>
      </c>
      <c r="B89" s="5">
        <v>44532</v>
      </c>
    </row>
    <row r="90" spans="1:2" x14ac:dyDescent="0.25">
      <c r="A90" s="2">
        <v>44533</v>
      </c>
      <c r="B90" s="5">
        <v>44533</v>
      </c>
    </row>
    <row r="91" spans="1:2" x14ac:dyDescent="0.25">
      <c r="A91" s="2">
        <v>44536</v>
      </c>
      <c r="B91" s="5">
        <v>44536</v>
      </c>
    </row>
    <row r="92" spans="1:2" x14ac:dyDescent="0.25">
      <c r="A92" s="2">
        <v>44537</v>
      </c>
      <c r="B92" s="5">
        <v>44537</v>
      </c>
    </row>
    <row r="93" spans="1:2" x14ac:dyDescent="0.25">
      <c r="A93" s="2">
        <v>44538</v>
      </c>
      <c r="B93" s="5">
        <v>44538</v>
      </c>
    </row>
    <row r="94" spans="1:2" x14ac:dyDescent="0.25">
      <c r="A94" s="2">
        <v>44539</v>
      </c>
      <c r="B94" s="5">
        <v>44539</v>
      </c>
    </row>
    <row r="95" spans="1:2" x14ac:dyDescent="0.25">
      <c r="A95" s="2">
        <v>44540</v>
      </c>
      <c r="B95" s="5">
        <v>44540</v>
      </c>
    </row>
    <row r="96" spans="1:2" x14ac:dyDescent="0.25">
      <c r="A96" s="2">
        <v>44543</v>
      </c>
      <c r="B96" s="5">
        <v>44543</v>
      </c>
    </row>
    <row r="97" spans="1:2" x14ac:dyDescent="0.25">
      <c r="A97" s="2">
        <v>44544</v>
      </c>
      <c r="B97" s="5">
        <v>44544</v>
      </c>
    </row>
    <row r="98" spans="1:2" x14ac:dyDescent="0.25">
      <c r="A98" s="2">
        <v>44545</v>
      </c>
      <c r="B98" s="5">
        <v>44545</v>
      </c>
    </row>
    <row r="99" spans="1:2" x14ac:dyDescent="0.25">
      <c r="A99" s="2">
        <v>44546</v>
      </c>
      <c r="B99" s="5">
        <v>44546</v>
      </c>
    </row>
    <row r="100" spans="1:2" x14ac:dyDescent="0.25">
      <c r="A100" s="2">
        <v>44547</v>
      </c>
      <c r="B100" s="5">
        <v>44547</v>
      </c>
    </row>
    <row r="101" spans="1:2" x14ac:dyDescent="0.25">
      <c r="A101" s="2">
        <v>44550</v>
      </c>
      <c r="B101" s="5">
        <v>44550</v>
      </c>
    </row>
    <row r="102" spans="1:2" x14ac:dyDescent="0.25">
      <c r="A102" s="2">
        <v>44551</v>
      </c>
      <c r="B102" s="5">
        <v>44551</v>
      </c>
    </row>
    <row r="103" spans="1:2" x14ac:dyDescent="0.25">
      <c r="A103" s="2">
        <v>44552</v>
      </c>
      <c r="B103" s="5">
        <v>44552</v>
      </c>
    </row>
    <row r="104" spans="1:2" x14ac:dyDescent="0.25">
      <c r="A104" s="2">
        <v>44553</v>
      </c>
      <c r="B104" s="5">
        <v>44553</v>
      </c>
    </row>
    <row r="105" spans="1:2" x14ac:dyDescent="0.25">
      <c r="A105" s="2">
        <v>44554</v>
      </c>
      <c r="B105" s="5">
        <v>44554</v>
      </c>
    </row>
    <row r="106" spans="1:2" x14ac:dyDescent="0.25">
      <c r="A106" s="2">
        <v>44557</v>
      </c>
      <c r="B106" s="5">
        <v>44557</v>
      </c>
    </row>
    <row r="107" spans="1:2" x14ac:dyDescent="0.25">
      <c r="A107" s="2">
        <v>44558</v>
      </c>
      <c r="B107" s="5">
        <v>44558</v>
      </c>
    </row>
    <row r="108" spans="1:2" x14ac:dyDescent="0.25">
      <c r="A108" s="2">
        <v>44559</v>
      </c>
      <c r="B108" s="5">
        <v>44559</v>
      </c>
    </row>
    <row r="109" spans="1:2" x14ac:dyDescent="0.25">
      <c r="A109" s="2">
        <v>44560</v>
      </c>
      <c r="B109" s="5">
        <v>44560</v>
      </c>
    </row>
    <row r="110" spans="1:2" x14ac:dyDescent="0.25">
      <c r="A110" s="2">
        <v>44561</v>
      </c>
      <c r="B110" s="5">
        <v>44561</v>
      </c>
    </row>
    <row r="111" spans="1:2" x14ac:dyDescent="0.25">
      <c r="A111" s="2">
        <v>44564</v>
      </c>
      <c r="B111" s="5">
        <v>44564</v>
      </c>
    </row>
    <row r="112" spans="1:2" x14ac:dyDescent="0.25">
      <c r="A112" s="2">
        <v>44565</v>
      </c>
      <c r="B112" s="5">
        <v>44565</v>
      </c>
    </row>
    <row r="113" spans="1:2" x14ac:dyDescent="0.25">
      <c r="A113" s="2">
        <v>44566</v>
      </c>
      <c r="B113" s="5">
        <v>44566</v>
      </c>
    </row>
    <row r="114" spans="1:2" x14ac:dyDescent="0.25">
      <c r="A114" s="2">
        <v>44567</v>
      </c>
      <c r="B114" s="5">
        <v>44567</v>
      </c>
    </row>
    <row r="115" spans="1:2" x14ac:dyDescent="0.25">
      <c r="A115" s="2">
        <v>44568</v>
      </c>
      <c r="B115" s="5">
        <v>44568</v>
      </c>
    </row>
    <row r="116" spans="1:2" x14ac:dyDescent="0.25">
      <c r="A116" s="2">
        <v>44571</v>
      </c>
      <c r="B116" s="5">
        <v>44571</v>
      </c>
    </row>
    <row r="117" spans="1:2" x14ac:dyDescent="0.25">
      <c r="A117" s="2">
        <v>44572</v>
      </c>
      <c r="B117" s="5">
        <v>44572</v>
      </c>
    </row>
    <row r="118" spans="1:2" x14ac:dyDescent="0.25">
      <c r="A118" s="2">
        <v>44573</v>
      </c>
      <c r="B118" s="5">
        <v>44573</v>
      </c>
    </row>
    <row r="119" spans="1:2" x14ac:dyDescent="0.25">
      <c r="A119" s="2">
        <v>44574</v>
      </c>
      <c r="B119" s="5">
        <v>44574</v>
      </c>
    </row>
    <row r="120" spans="1:2" x14ac:dyDescent="0.25">
      <c r="A120" s="2">
        <v>44575</v>
      </c>
      <c r="B120" s="5">
        <v>44575</v>
      </c>
    </row>
    <row r="121" spans="1:2" x14ac:dyDescent="0.25">
      <c r="A121" s="2">
        <v>44578</v>
      </c>
      <c r="B121" s="5">
        <v>44578</v>
      </c>
    </row>
    <row r="122" spans="1:2" x14ac:dyDescent="0.25">
      <c r="A122" s="2">
        <v>44579</v>
      </c>
      <c r="B122" s="5">
        <v>44579</v>
      </c>
    </row>
    <row r="123" spans="1:2" x14ac:dyDescent="0.25">
      <c r="A123" s="2">
        <v>44580</v>
      </c>
      <c r="B123" s="5">
        <v>44580</v>
      </c>
    </row>
    <row r="124" spans="1:2" x14ac:dyDescent="0.25">
      <c r="A124" s="2">
        <v>44581</v>
      </c>
      <c r="B124" s="5">
        <v>44581</v>
      </c>
    </row>
    <row r="125" spans="1:2" x14ac:dyDescent="0.25">
      <c r="A125" s="2">
        <v>44582</v>
      </c>
      <c r="B125" s="5">
        <v>44582</v>
      </c>
    </row>
    <row r="126" spans="1:2" x14ac:dyDescent="0.25">
      <c r="A126" s="2">
        <v>44585</v>
      </c>
      <c r="B126" s="5">
        <v>44585</v>
      </c>
    </row>
    <row r="127" spans="1:2" x14ac:dyDescent="0.25">
      <c r="A127" s="2">
        <v>44586</v>
      </c>
      <c r="B127" s="5">
        <v>44586</v>
      </c>
    </row>
    <row r="128" spans="1:2" x14ac:dyDescent="0.25">
      <c r="A128" s="2">
        <v>44587</v>
      </c>
      <c r="B128" s="5">
        <v>44587</v>
      </c>
    </row>
    <row r="129" spans="1:2" x14ac:dyDescent="0.25">
      <c r="A129" s="2">
        <v>44588</v>
      </c>
      <c r="B129" s="5">
        <v>44588</v>
      </c>
    </row>
    <row r="130" spans="1:2" x14ac:dyDescent="0.25">
      <c r="A130" s="2">
        <v>44589</v>
      </c>
      <c r="B130" s="5">
        <v>44589</v>
      </c>
    </row>
    <row r="131" spans="1:2" x14ac:dyDescent="0.25">
      <c r="A131" s="2">
        <v>44592</v>
      </c>
      <c r="B131" s="5">
        <v>44592</v>
      </c>
    </row>
    <row r="132" spans="1:2" x14ac:dyDescent="0.25">
      <c r="A132" s="2">
        <v>44593</v>
      </c>
      <c r="B132" s="5">
        <v>44593</v>
      </c>
    </row>
    <row r="133" spans="1:2" x14ac:dyDescent="0.25">
      <c r="A133" s="2">
        <v>44594</v>
      </c>
      <c r="B133" s="5">
        <v>44594</v>
      </c>
    </row>
    <row r="134" spans="1:2" x14ac:dyDescent="0.25">
      <c r="A134" s="2">
        <v>44595</v>
      </c>
      <c r="B134" s="5">
        <v>44595</v>
      </c>
    </row>
    <row r="135" spans="1:2" x14ac:dyDescent="0.25">
      <c r="A135" s="2">
        <v>44596</v>
      </c>
      <c r="B135" s="5">
        <v>44596</v>
      </c>
    </row>
    <row r="136" spans="1:2" x14ac:dyDescent="0.25">
      <c r="A136" s="2">
        <v>44599</v>
      </c>
      <c r="B136" s="5">
        <v>44599</v>
      </c>
    </row>
    <row r="137" spans="1:2" x14ac:dyDescent="0.25">
      <c r="A137" s="2">
        <v>44600</v>
      </c>
      <c r="B137" s="5">
        <v>44600</v>
      </c>
    </row>
    <row r="138" spans="1:2" x14ac:dyDescent="0.25">
      <c r="A138" s="2">
        <v>44601</v>
      </c>
      <c r="B138" s="5">
        <v>44601</v>
      </c>
    </row>
    <row r="139" spans="1:2" x14ac:dyDescent="0.25">
      <c r="A139" s="2">
        <v>44602</v>
      </c>
      <c r="B139" s="5">
        <v>44602</v>
      </c>
    </row>
    <row r="140" spans="1:2" x14ac:dyDescent="0.25">
      <c r="A140" s="2">
        <v>44603</v>
      </c>
      <c r="B140" s="5">
        <v>44603</v>
      </c>
    </row>
    <row r="141" spans="1:2" x14ac:dyDescent="0.25">
      <c r="A141" s="2">
        <v>44606</v>
      </c>
      <c r="B141" s="5">
        <v>44606</v>
      </c>
    </row>
    <row r="142" spans="1:2" x14ac:dyDescent="0.25">
      <c r="A142" s="2">
        <v>44607</v>
      </c>
      <c r="B142" s="5">
        <v>44607</v>
      </c>
    </row>
    <row r="143" spans="1:2" x14ac:dyDescent="0.25">
      <c r="A143" s="2">
        <v>44608</v>
      </c>
      <c r="B143" s="5">
        <v>44608</v>
      </c>
    </row>
    <row r="144" spans="1:2" x14ac:dyDescent="0.25">
      <c r="A144" s="2">
        <v>44609</v>
      </c>
      <c r="B144" s="5">
        <v>44609</v>
      </c>
    </row>
    <row r="145" spans="1:2" x14ac:dyDescent="0.25">
      <c r="A145" s="2">
        <v>44610</v>
      </c>
      <c r="B145" s="5">
        <v>44610</v>
      </c>
    </row>
    <row r="146" spans="1:2" x14ac:dyDescent="0.25">
      <c r="A146" s="2">
        <v>44613</v>
      </c>
      <c r="B146" s="5">
        <v>44613</v>
      </c>
    </row>
    <row r="147" spans="1:2" x14ac:dyDescent="0.25">
      <c r="A147" s="2">
        <v>44614</v>
      </c>
      <c r="B147" s="5">
        <v>44614</v>
      </c>
    </row>
    <row r="148" spans="1:2" x14ac:dyDescent="0.25">
      <c r="A148" s="2">
        <v>44615</v>
      </c>
      <c r="B148" s="5">
        <v>44615</v>
      </c>
    </row>
    <row r="149" spans="1:2" x14ac:dyDescent="0.25">
      <c r="A149" s="2">
        <v>44616</v>
      </c>
      <c r="B149" s="5">
        <v>44616</v>
      </c>
    </row>
  </sheetData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4CB60-BBFF-4D4D-AC19-F9F901B52130}">
  <sheetPr codeName="Planilha10"/>
  <dimension ref="A1:N127"/>
  <sheetViews>
    <sheetView tabSelected="1" zoomScale="85" zoomScaleNormal="85" workbookViewId="0">
      <selection activeCell="E16" sqref="E16"/>
    </sheetView>
  </sheetViews>
  <sheetFormatPr defaultRowHeight="15" x14ac:dyDescent="0.25"/>
  <cols>
    <col min="1" max="1" width="11.85546875" bestFit="1" customWidth="1"/>
    <col min="2" max="2" width="11.85546875" style="5" bestFit="1" customWidth="1"/>
    <col min="3" max="3" width="14.7109375" style="3" bestFit="1" customWidth="1"/>
    <col min="4" max="4" width="14.28515625" style="3" bestFit="1" customWidth="1"/>
    <col min="5" max="5" width="13.42578125" style="3" bestFit="1" customWidth="1"/>
    <col min="6" max="6" width="10.85546875" customWidth="1"/>
  </cols>
  <sheetData>
    <row r="1" spans="1:14" x14ac:dyDescent="0.25">
      <c r="A1" t="s">
        <v>1</v>
      </c>
      <c r="C1" s="3" t="s">
        <v>181</v>
      </c>
      <c r="D1" s="3" t="s">
        <v>182</v>
      </c>
      <c r="E1" s="3" t="s">
        <v>0</v>
      </c>
      <c r="F1" t="s">
        <v>2</v>
      </c>
    </row>
    <row r="2" spans="1:14" x14ac:dyDescent="0.25">
      <c r="A2" s="2">
        <v>44440</v>
      </c>
      <c r="B2" s="5">
        <v>44440</v>
      </c>
      <c r="C2" s="4">
        <v>50088</v>
      </c>
      <c r="D2" s="4">
        <v>-3040</v>
      </c>
      <c r="E2" s="4">
        <v>119180</v>
      </c>
      <c r="F2">
        <v>119840</v>
      </c>
    </row>
    <row r="3" spans="1:14" x14ac:dyDescent="0.25">
      <c r="A3" s="2">
        <v>44441</v>
      </c>
      <c r="B3" s="5">
        <v>44441</v>
      </c>
      <c r="C3" s="4">
        <v>-23138</v>
      </c>
      <c r="D3" s="4">
        <v>10010</v>
      </c>
      <c r="E3" s="4">
        <v>117160</v>
      </c>
      <c r="F3" s="4">
        <v>117112</v>
      </c>
    </row>
    <row r="4" spans="1:14" x14ac:dyDescent="0.25">
      <c r="A4" s="2">
        <v>44442</v>
      </c>
      <c r="B4" s="5">
        <v>44442</v>
      </c>
      <c r="C4" s="4">
        <v>26125</v>
      </c>
      <c r="D4" s="4">
        <v>-3515</v>
      </c>
      <c r="E4" s="4">
        <v>116855</v>
      </c>
      <c r="F4" s="4">
        <v>117198</v>
      </c>
    </row>
    <row r="5" spans="1:14" x14ac:dyDescent="0.25">
      <c r="A5" s="2">
        <v>44445</v>
      </c>
      <c r="B5" s="5">
        <v>44445</v>
      </c>
      <c r="C5" s="4">
        <v>41071</v>
      </c>
      <c r="D5" s="4">
        <v>2870</v>
      </c>
      <c r="E5" s="4">
        <v>118370</v>
      </c>
      <c r="F5" s="4">
        <v>118336</v>
      </c>
    </row>
    <row r="6" spans="1:14" x14ac:dyDescent="0.25">
      <c r="A6" s="2">
        <v>44447</v>
      </c>
      <c r="B6" s="5">
        <v>44447</v>
      </c>
      <c r="C6" s="4">
        <v>-28343</v>
      </c>
      <c r="D6" s="4">
        <v>2175</v>
      </c>
      <c r="E6" s="4">
        <v>113830</v>
      </c>
      <c r="F6" s="4">
        <v>113750</v>
      </c>
    </row>
    <row r="7" spans="1:14" x14ac:dyDescent="0.25">
      <c r="A7" s="2">
        <v>44448</v>
      </c>
      <c r="B7" s="5">
        <v>44448</v>
      </c>
      <c r="C7" s="4">
        <v>10508</v>
      </c>
      <c r="D7" s="4">
        <v>-4340</v>
      </c>
      <c r="E7" s="4">
        <v>117080</v>
      </c>
      <c r="F7" s="4">
        <v>115890</v>
      </c>
    </row>
    <row r="8" spans="1:14" x14ac:dyDescent="0.25">
      <c r="A8" s="2">
        <v>44449</v>
      </c>
      <c r="B8" s="5">
        <v>44449</v>
      </c>
      <c r="C8" s="4">
        <v>43286</v>
      </c>
      <c r="D8" s="4">
        <v>-6195</v>
      </c>
      <c r="E8" s="4">
        <v>114680</v>
      </c>
      <c r="F8" s="4">
        <v>114660</v>
      </c>
    </row>
    <row r="9" spans="1:14" x14ac:dyDescent="0.25">
      <c r="A9" s="2">
        <v>44452</v>
      </c>
      <c r="B9" s="5">
        <v>44452</v>
      </c>
      <c r="C9" s="4">
        <v>64650</v>
      </c>
      <c r="D9" s="4">
        <v>-3155</v>
      </c>
      <c r="E9" s="4">
        <v>116680</v>
      </c>
      <c r="F9" s="4">
        <v>116870</v>
      </c>
    </row>
    <row r="10" spans="1:14" x14ac:dyDescent="0.25">
      <c r="A10" s="2">
        <v>44453</v>
      </c>
      <c r="B10" s="5">
        <v>44453</v>
      </c>
      <c r="C10" s="4">
        <v>-36913</v>
      </c>
      <c r="D10" s="4">
        <v>1550</v>
      </c>
      <c r="E10" s="4">
        <v>116900</v>
      </c>
      <c r="F10" s="4">
        <v>116505</v>
      </c>
    </row>
    <row r="11" spans="1:14" x14ac:dyDescent="0.25">
      <c r="A11" s="2">
        <v>44454</v>
      </c>
      <c r="B11" s="5">
        <v>44454</v>
      </c>
      <c r="C11" s="4">
        <v>-12348</v>
      </c>
      <c r="D11" s="4">
        <v>-5425</v>
      </c>
      <c r="E11" s="4">
        <v>115600</v>
      </c>
      <c r="F11" s="4">
        <v>115528</v>
      </c>
      <c r="N11" t="s">
        <v>177</v>
      </c>
    </row>
    <row r="12" spans="1:14" x14ac:dyDescent="0.25">
      <c r="A12" s="2">
        <v>44455</v>
      </c>
      <c r="B12" s="5">
        <v>44455</v>
      </c>
      <c r="C12" s="3">
        <v>15281</v>
      </c>
      <c r="D12" s="3">
        <v>95</v>
      </c>
      <c r="E12" s="3">
        <v>114410</v>
      </c>
      <c r="F12" s="4">
        <v>114170</v>
      </c>
    </row>
    <row r="13" spans="1:14" x14ac:dyDescent="0.25">
      <c r="A13" s="2">
        <v>44456</v>
      </c>
      <c r="B13" s="5">
        <v>44456</v>
      </c>
      <c r="C13" s="3">
        <f>'170921'!A2</f>
        <v>-2452</v>
      </c>
      <c r="D13" s="3">
        <f>'170921IND'!A2</f>
        <v>335</v>
      </c>
      <c r="E13" s="3">
        <v>111205</v>
      </c>
      <c r="F13" s="3">
        <f>111697</f>
        <v>111697</v>
      </c>
      <c r="N13" t="s">
        <v>178</v>
      </c>
    </row>
    <row r="14" spans="1:14" x14ac:dyDescent="0.25">
      <c r="A14" s="2">
        <v>44459</v>
      </c>
      <c r="B14" s="5">
        <v>44459</v>
      </c>
      <c r="C14" s="3">
        <f>'200921'!A2</f>
        <v>-56705</v>
      </c>
      <c r="D14" s="3">
        <f>'200921IND'!A2</f>
        <v>4435</v>
      </c>
      <c r="E14" s="3">
        <v>109710</v>
      </c>
      <c r="F14" s="4">
        <v>109090</v>
      </c>
    </row>
    <row r="15" spans="1:14" x14ac:dyDescent="0.25">
      <c r="A15" s="2">
        <v>44460</v>
      </c>
      <c r="B15" s="5">
        <v>44460</v>
      </c>
    </row>
    <row r="16" spans="1:14" x14ac:dyDescent="0.25">
      <c r="A16" s="2">
        <v>44461</v>
      </c>
      <c r="B16" s="5">
        <v>44461</v>
      </c>
    </row>
    <row r="17" spans="1:2" x14ac:dyDescent="0.25">
      <c r="A17" s="2">
        <v>44462</v>
      </c>
      <c r="B17" s="5">
        <v>44462</v>
      </c>
    </row>
    <row r="18" spans="1:2" x14ac:dyDescent="0.25">
      <c r="A18" s="2">
        <v>44463</v>
      </c>
      <c r="B18" s="5">
        <v>44463</v>
      </c>
    </row>
    <row r="19" spans="1:2" x14ac:dyDescent="0.25">
      <c r="A19" s="2">
        <v>44466</v>
      </c>
      <c r="B19" s="5">
        <v>44466</v>
      </c>
    </row>
    <row r="20" spans="1:2" x14ac:dyDescent="0.25">
      <c r="A20" s="2">
        <v>44467</v>
      </c>
      <c r="B20" s="5">
        <v>44467</v>
      </c>
    </row>
    <row r="21" spans="1:2" x14ac:dyDescent="0.25">
      <c r="A21" s="2">
        <v>44468</v>
      </c>
      <c r="B21" s="5">
        <v>44468</v>
      </c>
    </row>
    <row r="22" spans="1:2" x14ac:dyDescent="0.25">
      <c r="A22" s="2">
        <v>44469</v>
      </c>
      <c r="B22" s="5">
        <v>44469</v>
      </c>
    </row>
    <row r="23" spans="1:2" x14ac:dyDescent="0.25">
      <c r="A23" s="2">
        <v>44470</v>
      </c>
      <c r="B23" s="5">
        <v>44470</v>
      </c>
    </row>
    <row r="24" spans="1:2" x14ac:dyDescent="0.25">
      <c r="A24" s="2">
        <v>44473</v>
      </c>
      <c r="B24" s="5">
        <v>44473</v>
      </c>
    </row>
    <row r="25" spans="1:2" x14ac:dyDescent="0.25">
      <c r="A25" s="2">
        <v>44474</v>
      </c>
      <c r="B25" s="5">
        <v>44474</v>
      </c>
    </row>
    <row r="26" spans="1:2" x14ac:dyDescent="0.25">
      <c r="A26" s="2">
        <v>44475</v>
      </c>
      <c r="B26" s="5">
        <v>44475</v>
      </c>
    </row>
    <row r="27" spans="1:2" x14ac:dyDescent="0.25">
      <c r="A27" s="2">
        <v>44476</v>
      </c>
      <c r="B27" s="5">
        <v>44476</v>
      </c>
    </row>
    <row r="28" spans="1:2" x14ac:dyDescent="0.25">
      <c r="A28" s="2">
        <v>44477</v>
      </c>
      <c r="B28" s="5">
        <v>44477</v>
      </c>
    </row>
    <row r="29" spans="1:2" x14ac:dyDescent="0.25">
      <c r="A29" s="2">
        <v>44480</v>
      </c>
      <c r="B29" s="5">
        <v>44480</v>
      </c>
    </row>
    <row r="30" spans="1:2" x14ac:dyDescent="0.25">
      <c r="A30" s="2">
        <v>44481</v>
      </c>
      <c r="B30" s="5">
        <v>44481</v>
      </c>
    </row>
    <row r="31" spans="1:2" x14ac:dyDescent="0.25">
      <c r="A31" s="2">
        <v>44482</v>
      </c>
      <c r="B31" s="5">
        <v>44482</v>
      </c>
    </row>
    <row r="32" spans="1:2" x14ac:dyDescent="0.25">
      <c r="A32" s="2">
        <v>44483</v>
      </c>
      <c r="B32" s="5">
        <v>44483</v>
      </c>
    </row>
    <row r="33" spans="1:2" x14ac:dyDescent="0.25">
      <c r="A33" s="2">
        <v>44484</v>
      </c>
      <c r="B33" s="5">
        <v>44484</v>
      </c>
    </row>
    <row r="34" spans="1:2" x14ac:dyDescent="0.25">
      <c r="A34" s="2">
        <v>44487</v>
      </c>
      <c r="B34" s="5">
        <v>44487</v>
      </c>
    </row>
    <row r="35" spans="1:2" x14ac:dyDescent="0.25">
      <c r="A35" s="2">
        <v>44488</v>
      </c>
      <c r="B35" s="5">
        <v>44488</v>
      </c>
    </row>
    <row r="36" spans="1:2" x14ac:dyDescent="0.25">
      <c r="A36" s="2">
        <v>44489</v>
      </c>
      <c r="B36" s="5">
        <v>44489</v>
      </c>
    </row>
    <row r="37" spans="1:2" x14ac:dyDescent="0.25">
      <c r="A37" s="2">
        <v>44490</v>
      </c>
      <c r="B37" s="5">
        <v>44490</v>
      </c>
    </row>
    <row r="38" spans="1:2" x14ac:dyDescent="0.25">
      <c r="A38" s="2">
        <v>44491</v>
      </c>
      <c r="B38" s="5">
        <v>44491</v>
      </c>
    </row>
    <row r="39" spans="1:2" x14ac:dyDescent="0.25">
      <c r="A39" s="2">
        <v>44494</v>
      </c>
      <c r="B39" s="5">
        <v>44494</v>
      </c>
    </row>
    <row r="40" spans="1:2" x14ac:dyDescent="0.25">
      <c r="A40" s="2">
        <v>44495</v>
      </c>
      <c r="B40" s="5">
        <v>44495</v>
      </c>
    </row>
    <row r="41" spans="1:2" x14ac:dyDescent="0.25">
      <c r="A41" s="2">
        <v>44496</v>
      </c>
      <c r="B41" s="5">
        <v>44496</v>
      </c>
    </row>
    <row r="42" spans="1:2" x14ac:dyDescent="0.25">
      <c r="A42" s="2">
        <v>44497</v>
      </c>
      <c r="B42" s="5">
        <v>44497</v>
      </c>
    </row>
    <row r="43" spans="1:2" x14ac:dyDescent="0.25">
      <c r="A43" s="2">
        <v>44498</v>
      </c>
      <c r="B43" s="5">
        <v>44498</v>
      </c>
    </row>
    <row r="44" spans="1:2" x14ac:dyDescent="0.25">
      <c r="A44" s="2">
        <v>44501</v>
      </c>
      <c r="B44" s="5">
        <v>44501</v>
      </c>
    </row>
    <row r="45" spans="1:2" x14ac:dyDescent="0.25">
      <c r="A45" s="2">
        <v>44502</v>
      </c>
      <c r="B45" s="5">
        <v>44502</v>
      </c>
    </row>
    <row r="46" spans="1:2" x14ac:dyDescent="0.25">
      <c r="A46" s="2">
        <v>44503</v>
      </c>
      <c r="B46" s="5">
        <v>44503</v>
      </c>
    </row>
    <row r="47" spans="1:2" x14ac:dyDescent="0.25">
      <c r="A47" s="2">
        <v>44504</v>
      </c>
      <c r="B47" s="5">
        <v>44504</v>
      </c>
    </row>
    <row r="48" spans="1:2" x14ac:dyDescent="0.25">
      <c r="A48" s="2">
        <v>44505</v>
      </c>
      <c r="B48" s="5">
        <v>44505</v>
      </c>
    </row>
    <row r="49" spans="1:2" x14ac:dyDescent="0.25">
      <c r="A49" s="2">
        <v>44508</v>
      </c>
      <c r="B49" s="5">
        <v>44508</v>
      </c>
    </row>
    <row r="50" spans="1:2" x14ac:dyDescent="0.25">
      <c r="A50" s="2">
        <v>44509</v>
      </c>
      <c r="B50" s="5">
        <v>44509</v>
      </c>
    </row>
    <row r="51" spans="1:2" x14ac:dyDescent="0.25">
      <c r="A51" s="2">
        <v>44510</v>
      </c>
      <c r="B51" s="5">
        <v>44510</v>
      </c>
    </row>
    <row r="52" spans="1:2" x14ac:dyDescent="0.25">
      <c r="A52" s="2">
        <v>44511</v>
      </c>
      <c r="B52" s="5">
        <v>44511</v>
      </c>
    </row>
    <row r="53" spans="1:2" x14ac:dyDescent="0.25">
      <c r="A53" s="2">
        <v>44512</v>
      </c>
      <c r="B53" s="5">
        <v>44512</v>
      </c>
    </row>
    <row r="54" spans="1:2" x14ac:dyDescent="0.25">
      <c r="A54" s="2">
        <v>44515</v>
      </c>
      <c r="B54" s="5">
        <v>44515</v>
      </c>
    </row>
    <row r="55" spans="1:2" x14ac:dyDescent="0.25">
      <c r="A55" s="2">
        <v>44516</v>
      </c>
      <c r="B55" s="5">
        <v>44516</v>
      </c>
    </row>
    <row r="56" spans="1:2" x14ac:dyDescent="0.25">
      <c r="A56" s="2">
        <v>44517</v>
      </c>
      <c r="B56" s="5">
        <v>44517</v>
      </c>
    </row>
    <row r="57" spans="1:2" x14ac:dyDescent="0.25">
      <c r="A57" s="2">
        <v>44518</v>
      </c>
      <c r="B57" s="5">
        <v>44518</v>
      </c>
    </row>
    <row r="58" spans="1:2" x14ac:dyDescent="0.25">
      <c r="A58" s="2">
        <v>44519</v>
      </c>
      <c r="B58" s="5">
        <v>44519</v>
      </c>
    </row>
    <row r="59" spans="1:2" x14ac:dyDescent="0.25">
      <c r="A59" s="2">
        <v>44522</v>
      </c>
      <c r="B59" s="5">
        <v>44522</v>
      </c>
    </row>
    <row r="60" spans="1:2" x14ac:dyDescent="0.25">
      <c r="A60" s="2">
        <v>44523</v>
      </c>
      <c r="B60" s="5">
        <v>44523</v>
      </c>
    </row>
    <row r="61" spans="1:2" x14ac:dyDescent="0.25">
      <c r="A61" s="2">
        <v>44524</v>
      </c>
      <c r="B61" s="5">
        <v>44524</v>
      </c>
    </row>
    <row r="62" spans="1:2" x14ac:dyDescent="0.25">
      <c r="A62" s="2">
        <v>44525</v>
      </c>
      <c r="B62" s="5">
        <v>44525</v>
      </c>
    </row>
    <row r="63" spans="1:2" x14ac:dyDescent="0.25">
      <c r="A63" s="2">
        <v>44526</v>
      </c>
      <c r="B63" s="5">
        <v>44526</v>
      </c>
    </row>
    <row r="64" spans="1:2" x14ac:dyDescent="0.25">
      <c r="A64" s="2">
        <v>44529</v>
      </c>
      <c r="B64" s="5">
        <v>44529</v>
      </c>
    </row>
    <row r="65" spans="1:2" x14ac:dyDescent="0.25">
      <c r="A65" s="2">
        <v>44530</v>
      </c>
      <c r="B65" s="5">
        <v>44530</v>
      </c>
    </row>
    <row r="66" spans="1:2" x14ac:dyDescent="0.25">
      <c r="A66" s="2">
        <v>44531</v>
      </c>
      <c r="B66" s="5">
        <v>44531</v>
      </c>
    </row>
    <row r="67" spans="1:2" x14ac:dyDescent="0.25">
      <c r="A67" s="2">
        <v>44532</v>
      </c>
      <c r="B67" s="5">
        <v>44532</v>
      </c>
    </row>
    <row r="68" spans="1:2" x14ac:dyDescent="0.25">
      <c r="A68" s="2">
        <v>44533</v>
      </c>
      <c r="B68" s="5">
        <v>44533</v>
      </c>
    </row>
    <row r="69" spans="1:2" x14ac:dyDescent="0.25">
      <c r="A69" s="2">
        <v>44536</v>
      </c>
      <c r="B69" s="5">
        <v>44536</v>
      </c>
    </row>
    <row r="70" spans="1:2" x14ac:dyDescent="0.25">
      <c r="A70" s="2">
        <v>44537</v>
      </c>
      <c r="B70" s="5">
        <v>44537</v>
      </c>
    </row>
    <row r="71" spans="1:2" x14ac:dyDescent="0.25">
      <c r="A71" s="2">
        <v>44538</v>
      </c>
      <c r="B71" s="5">
        <v>44538</v>
      </c>
    </row>
    <row r="72" spans="1:2" x14ac:dyDescent="0.25">
      <c r="A72" s="2">
        <v>44539</v>
      </c>
      <c r="B72" s="5">
        <v>44539</v>
      </c>
    </row>
    <row r="73" spans="1:2" x14ac:dyDescent="0.25">
      <c r="A73" s="2">
        <v>44540</v>
      </c>
      <c r="B73" s="5">
        <v>44540</v>
      </c>
    </row>
    <row r="74" spans="1:2" x14ac:dyDescent="0.25">
      <c r="A74" s="2">
        <v>44543</v>
      </c>
      <c r="B74" s="5">
        <v>44543</v>
      </c>
    </row>
    <row r="75" spans="1:2" x14ac:dyDescent="0.25">
      <c r="A75" s="2">
        <v>44544</v>
      </c>
      <c r="B75" s="5">
        <v>44544</v>
      </c>
    </row>
    <row r="76" spans="1:2" x14ac:dyDescent="0.25">
      <c r="A76" s="2">
        <v>44545</v>
      </c>
      <c r="B76" s="5">
        <v>44545</v>
      </c>
    </row>
    <row r="77" spans="1:2" x14ac:dyDescent="0.25">
      <c r="A77" s="2">
        <v>44546</v>
      </c>
      <c r="B77" s="5">
        <v>44546</v>
      </c>
    </row>
    <row r="78" spans="1:2" x14ac:dyDescent="0.25">
      <c r="A78" s="2">
        <v>44547</v>
      </c>
      <c r="B78" s="5">
        <v>44547</v>
      </c>
    </row>
    <row r="79" spans="1:2" x14ac:dyDescent="0.25">
      <c r="A79" s="2">
        <v>44550</v>
      </c>
      <c r="B79" s="5">
        <v>44550</v>
      </c>
    </row>
    <row r="80" spans="1:2" x14ac:dyDescent="0.25">
      <c r="A80" s="2">
        <v>44551</v>
      </c>
      <c r="B80" s="5">
        <v>44551</v>
      </c>
    </row>
    <row r="81" spans="1:2" x14ac:dyDescent="0.25">
      <c r="A81" s="2">
        <v>44552</v>
      </c>
      <c r="B81" s="5">
        <v>44552</v>
      </c>
    </row>
    <row r="82" spans="1:2" x14ac:dyDescent="0.25">
      <c r="A82" s="2">
        <v>44553</v>
      </c>
      <c r="B82" s="5">
        <v>44553</v>
      </c>
    </row>
    <row r="83" spans="1:2" x14ac:dyDescent="0.25">
      <c r="A83" s="2">
        <v>44554</v>
      </c>
      <c r="B83" s="5">
        <v>44554</v>
      </c>
    </row>
    <row r="84" spans="1:2" x14ac:dyDescent="0.25">
      <c r="A84" s="2">
        <v>44557</v>
      </c>
      <c r="B84" s="5">
        <v>44557</v>
      </c>
    </row>
    <row r="85" spans="1:2" x14ac:dyDescent="0.25">
      <c r="A85" s="2">
        <v>44558</v>
      </c>
      <c r="B85" s="5">
        <v>44558</v>
      </c>
    </row>
    <row r="86" spans="1:2" x14ac:dyDescent="0.25">
      <c r="A86" s="2">
        <v>44559</v>
      </c>
      <c r="B86" s="5">
        <v>44559</v>
      </c>
    </row>
    <row r="87" spans="1:2" x14ac:dyDescent="0.25">
      <c r="A87" s="2">
        <v>44560</v>
      </c>
      <c r="B87" s="5">
        <v>44560</v>
      </c>
    </row>
    <row r="88" spans="1:2" x14ac:dyDescent="0.25">
      <c r="A88" s="2">
        <v>44561</v>
      </c>
      <c r="B88" s="5">
        <v>44561</v>
      </c>
    </row>
    <row r="89" spans="1:2" x14ac:dyDescent="0.25">
      <c r="A89" s="2">
        <v>44564</v>
      </c>
      <c r="B89" s="5">
        <v>44564</v>
      </c>
    </row>
    <row r="90" spans="1:2" x14ac:dyDescent="0.25">
      <c r="A90" s="2">
        <v>44565</v>
      </c>
      <c r="B90" s="5">
        <v>44565</v>
      </c>
    </row>
    <row r="91" spans="1:2" x14ac:dyDescent="0.25">
      <c r="A91" s="2">
        <v>44566</v>
      </c>
      <c r="B91" s="5">
        <v>44566</v>
      </c>
    </row>
    <row r="92" spans="1:2" x14ac:dyDescent="0.25">
      <c r="A92" s="2">
        <v>44567</v>
      </c>
      <c r="B92" s="5">
        <v>44567</v>
      </c>
    </row>
    <row r="93" spans="1:2" x14ac:dyDescent="0.25">
      <c r="A93" s="2">
        <v>44568</v>
      </c>
      <c r="B93" s="5">
        <v>44568</v>
      </c>
    </row>
    <row r="94" spans="1:2" x14ac:dyDescent="0.25">
      <c r="A94" s="2">
        <v>44571</v>
      </c>
      <c r="B94" s="5">
        <v>44571</v>
      </c>
    </row>
    <row r="95" spans="1:2" x14ac:dyDescent="0.25">
      <c r="A95" s="2">
        <v>44572</v>
      </c>
      <c r="B95" s="5">
        <v>44572</v>
      </c>
    </row>
    <row r="96" spans="1:2" x14ac:dyDescent="0.25">
      <c r="A96" s="2">
        <v>44573</v>
      </c>
      <c r="B96" s="5">
        <v>44573</v>
      </c>
    </row>
    <row r="97" spans="1:2" x14ac:dyDescent="0.25">
      <c r="A97" s="2">
        <v>44574</v>
      </c>
      <c r="B97" s="5">
        <v>44574</v>
      </c>
    </row>
    <row r="98" spans="1:2" x14ac:dyDescent="0.25">
      <c r="A98" s="2">
        <v>44575</v>
      </c>
      <c r="B98" s="5">
        <v>44575</v>
      </c>
    </row>
    <row r="99" spans="1:2" x14ac:dyDescent="0.25">
      <c r="A99" s="2">
        <v>44578</v>
      </c>
      <c r="B99" s="5">
        <v>44578</v>
      </c>
    </row>
    <row r="100" spans="1:2" x14ac:dyDescent="0.25">
      <c r="A100" s="2">
        <v>44579</v>
      </c>
      <c r="B100" s="5">
        <v>44579</v>
      </c>
    </row>
    <row r="101" spans="1:2" x14ac:dyDescent="0.25">
      <c r="A101" s="2">
        <v>44580</v>
      </c>
      <c r="B101" s="5">
        <v>44580</v>
      </c>
    </row>
    <row r="102" spans="1:2" x14ac:dyDescent="0.25">
      <c r="A102" s="2">
        <v>44581</v>
      </c>
      <c r="B102" s="5">
        <v>44581</v>
      </c>
    </row>
    <row r="103" spans="1:2" x14ac:dyDescent="0.25">
      <c r="A103" s="2">
        <v>44582</v>
      </c>
      <c r="B103" s="5">
        <v>44582</v>
      </c>
    </row>
    <row r="104" spans="1:2" x14ac:dyDescent="0.25">
      <c r="A104" s="2">
        <v>44585</v>
      </c>
      <c r="B104" s="5">
        <v>44585</v>
      </c>
    </row>
    <row r="105" spans="1:2" x14ac:dyDescent="0.25">
      <c r="A105" s="2">
        <v>44586</v>
      </c>
      <c r="B105" s="5">
        <v>44586</v>
      </c>
    </row>
    <row r="106" spans="1:2" x14ac:dyDescent="0.25">
      <c r="A106" s="2">
        <v>44587</v>
      </c>
      <c r="B106" s="5">
        <v>44587</v>
      </c>
    </row>
    <row r="107" spans="1:2" x14ac:dyDescent="0.25">
      <c r="A107" s="2">
        <v>44588</v>
      </c>
      <c r="B107" s="5">
        <v>44588</v>
      </c>
    </row>
    <row r="108" spans="1:2" x14ac:dyDescent="0.25">
      <c r="A108" s="2">
        <v>44589</v>
      </c>
      <c r="B108" s="5">
        <v>44589</v>
      </c>
    </row>
    <row r="109" spans="1:2" x14ac:dyDescent="0.25">
      <c r="A109" s="2">
        <v>44592</v>
      </c>
      <c r="B109" s="5">
        <v>44592</v>
      </c>
    </row>
    <row r="110" spans="1:2" x14ac:dyDescent="0.25">
      <c r="A110" s="2">
        <v>44593</v>
      </c>
      <c r="B110" s="5">
        <v>44593</v>
      </c>
    </row>
    <row r="111" spans="1:2" x14ac:dyDescent="0.25">
      <c r="A111" s="2">
        <v>44594</v>
      </c>
      <c r="B111" s="5">
        <v>44594</v>
      </c>
    </row>
    <row r="112" spans="1:2" x14ac:dyDescent="0.25">
      <c r="A112" s="2">
        <v>44595</v>
      </c>
      <c r="B112" s="5">
        <v>44595</v>
      </c>
    </row>
    <row r="113" spans="1:2" x14ac:dyDescent="0.25">
      <c r="A113" s="2">
        <v>44596</v>
      </c>
      <c r="B113" s="5">
        <v>44596</v>
      </c>
    </row>
    <row r="114" spans="1:2" x14ac:dyDescent="0.25">
      <c r="A114" s="2">
        <v>44599</v>
      </c>
      <c r="B114" s="5">
        <v>44599</v>
      </c>
    </row>
    <row r="115" spans="1:2" x14ac:dyDescent="0.25">
      <c r="A115" s="2">
        <v>44600</v>
      </c>
      <c r="B115" s="5">
        <v>44600</v>
      </c>
    </row>
    <row r="116" spans="1:2" x14ac:dyDescent="0.25">
      <c r="A116" s="2">
        <v>44601</v>
      </c>
      <c r="B116" s="5">
        <v>44601</v>
      </c>
    </row>
    <row r="117" spans="1:2" x14ac:dyDescent="0.25">
      <c r="A117" s="2">
        <v>44602</v>
      </c>
      <c r="B117" s="5">
        <v>44602</v>
      </c>
    </row>
    <row r="118" spans="1:2" x14ac:dyDescent="0.25">
      <c r="A118" s="2">
        <v>44603</v>
      </c>
      <c r="B118" s="5">
        <v>44603</v>
      </c>
    </row>
    <row r="119" spans="1:2" x14ac:dyDescent="0.25">
      <c r="A119" s="2">
        <v>44606</v>
      </c>
      <c r="B119" s="5">
        <v>44606</v>
      </c>
    </row>
    <row r="120" spans="1:2" x14ac:dyDescent="0.25">
      <c r="A120" s="2">
        <v>44607</v>
      </c>
      <c r="B120" s="5">
        <v>44607</v>
      </c>
    </row>
    <row r="121" spans="1:2" x14ac:dyDescent="0.25">
      <c r="A121" s="2">
        <v>44608</v>
      </c>
      <c r="B121" s="5">
        <v>44608</v>
      </c>
    </row>
    <row r="122" spans="1:2" x14ac:dyDescent="0.25">
      <c r="A122" s="2">
        <v>44609</v>
      </c>
      <c r="B122" s="5">
        <v>44609</v>
      </c>
    </row>
    <row r="123" spans="1:2" x14ac:dyDescent="0.25">
      <c r="A123" s="2">
        <v>44610</v>
      </c>
      <c r="B123" s="5">
        <v>44610</v>
      </c>
    </row>
    <row r="124" spans="1:2" x14ac:dyDescent="0.25">
      <c r="A124" s="2">
        <v>44613</v>
      </c>
      <c r="B124" s="5">
        <v>44613</v>
      </c>
    </row>
    <row r="125" spans="1:2" x14ac:dyDescent="0.25">
      <c r="A125" s="2">
        <v>44614</v>
      </c>
      <c r="B125" s="5">
        <v>44614</v>
      </c>
    </row>
    <row r="126" spans="1:2" x14ac:dyDescent="0.25">
      <c r="A126" s="2">
        <v>44615</v>
      </c>
      <c r="B126" s="5">
        <v>44615</v>
      </c>
    </row>
    <row r="127" spans="1:2" x14ac:dyDescent="0.25">
      <c r="A127" s="2">
        <v>44616</v>
      </c>
      <c r="B127" s="5">
        <v>44616</v>
      </c>
    </row>
  </sheetData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CA644-E043-4A8B-BE0D-BAE760CABC29}">
  <sheetPr codeName="Planilha12" filterMode="1"/>
  <dimension ref="A1:C40"/>
  <sheetViews>
    <sheetView workbookViewId="0">
      <selection activeCell="B10" sqref="B10"/>
    </sheetView>
  </sheetViews>
  <sheetFormatPr defaultRowHeight="15" x14ac:dyDescent="0.25"/>
  <sheetData>
    <row r="1" spans="1:3" x14ac:dyDescent="0.25">
      <c r="A1" t="s">
        <v>49</v>
      </c>
    </row>
    <row r="2" spans="1:3" x14ac:dyDescent="0.25">
      <c r="A2">
        <f>_xlfn.AGGREGATE(9,5,A4:B70)</f>
        <v>4435</v>
      </c>
    </row>
    <row r="3" spans="1:3" x14ac:dyDescent="0.25">
      <c r="A3" t="s">
        <v>3</v>
      </c>
      <c r="B3" t="s">
        <v>4</v>
      </c>
      <c r="C3" t="s">
        <v>5</v>
      </c>
    </row>
    <row r="4" spans="1:3" hidden="1" x14ac:dyDescent="0.25">
      <c r="A4" t="s">
        <v>41</v>
      </c>
      <c r="B4">
        <v>8.02</v>
      </c>
      <c r="C4">
        <v>108.82</v>
      </c>
    </row>
    <row r="5" spans="1:3" hidden="1" x14ac:dyDescent="0.25">
      <c r="A5" t="s">
        <v>6</v>
      </c>
      <c r="B5">
        <v>4.04</v>
      </c>
      <c r="C5">
        <v>108.751</v>
      </c>
    </row>
    <row r="6" spans="1:3" x14ac:dyDescent="0.25">
      <c r="A6" t="s">
        <v>8</v>
      </c>
      <c r="B6" s="3">
        <v>3170</v>
      </c>
      <c r="C6">
        <v>108.916</v>
      </c>
    </row>
    <row r="7" spans="1:3" x14ac:dyDescent="0.25">
      <c r="A7" t="s">
        <v>17</v>
      </c>
      <c r="B7" s="3">
        <v>2180</v>
      </c>
      <c r="C7">
        <v>108.88</v>
      </c>
    </row>
    <row r="8" spans="1:3" hidden="1" x14ac:dyDescent="0.25">
      <c r="A8" t="s">
        <v>36</v>
      </c>
      <c r="B8">
        <v>835</v>
      </c>
      <c r="C8">
        <v>109.117</v>
      </c>
    </row>
    <row r="9" spans="1:3" hidden="1" x14ac:dyDescent="0.25">
      <c r="A9" t="s">
        <v>12</v>
      </c>
      <c r="B9">
        <v>810</v>
      </c>
      <c r="C9">
        <v>109.039</v>
      </c>
    </row>
    <row r="10" spans="1:3" x14ac:dyDescent="0.25">
      <c r="A10" t="s">
        <v>28</v>
      </c>
      <c r="B10" s="3">
        <v>715</v>
      </c>
      <c r="C10">
        <v>108.678</v>
      </c>
    </row>
    <row r="11" spans="1:3" hidden="1" x14ac:dyDescent="0.25">
      <c r="A11" t="s">
        <v>19</v>
      </c>
      <c r="B11">
        <v>555</v>
      </c>
      <c r="C11">
        <v>109.099</v>
      </c>
    </row>
    <row r="12" spans="1:3" x14ac:dyDescent="0.25">
      <c r="A12" t="s">
        <v>33</v>
      </c>
      <c r="B12" s="3">
        <v>445</v>
      </c>
      <c r="C12">
        <v>108.21</v>
      </c>
    </row>
    <row r="13" spans="1:3" hidden="1" x14ac:dyDescent="0.25">
      <c r="A13" t="s">
        <v>15</v>
      </c>
      <c r="B13">
        <v>430</v>
      </c>
      <c r="C13">
        <v>108.58499999999999</v>
      </c>
    </row>
    <row r="14" spans="1:3" hidden="1" x14ac:dyDescent="0.25">
      <c r="A14" t="s">
        <v>13</v>
      </c>
      <c r="B14">
        <v>410</v>
      </c>
      <c r="C14">
        <v>108.783</v>
      </c>
    </row>
    <row r="15" spans="1:3" hidden="1" x14ac:dyDescent="0.25">
      <c r="A15" t="s">
        <v>37</v>
      </c>
      <c r="B15">
        <v>245</v>
      </c>
      <c r="C15">
        <v>109.057</v>
      </c>
    </row>
    <row r="16" spans="1:3" hidden="1" x14ac:dyDescent="0.25">
      <c r="A16" t="s">
        <v>32</v>
      </c>
      <c r="B16">
        <v>95</v>
      </c>
      <c r="C16">
        <v>108.22799999999999</v>
      </c>
    </row>
    <row r="17" spans="1:3" hidden="1" x14ac:dyDescent="0.25">
      <c r="A17" t="s">
        <v>45</v>
      </c>
      <c r="B17">
        <v>20</v>
      </c>
      <c r="C17">
        <v>109.07</v>
      </c>
    </row>
    <row r="18" spans="1:3" hidden="1" x14ac:dyDescent="0.25">
      <c r="A18" t="s">
        <v>21</v>
      </c>
      <c r="B18">
        <v>20</v>
      </c>
      <c r="C18">
        <v>108.74</v>
      </c>
    </row>
    <row r="19" spans="1:3" hidden="1" x14ac:dyDescent="0.25">
      <c r="A19" t="s">
        <v>26</v>
      </c>
      <c r="B19">
        <v>15</v>
      </c>
      <c r="C19">
        <v>108.93899999999999</v>
      </c>
    </row>
    <row r="20" spans="1:3" hidden="1" x14ac:dyDescent="0.25">
      <c r="A20" t="s">
        <v>18</v>
      </c>
      <c r="B20">
        <v>15</v>
      </c>
      <c r="C20">
        <v>108.745</v>
      </c>
    </row>
    <row r="21" spans="1:3" hidden="1" x14ac:dyDescent="0.25">
      <c r="A21" t="s">
        <v>179</v>
      </c>
      <c r="B21">
        <v>5</v>
      </c>
      <c r="C21">
        <v>109.127</v>
      </c>
    </row>
    <row r="22" spans="1:3" hidden="1" x14ac:dyDescent="0.25">
      <c r="A22" t="s">
        <v>24</v>
      </c>
      <c r="B22">
        <v>5</v>
      </c>
      <c r="C22">
        <v>109.1</v>
      </c>
    </row>
    <row r="23" spans="1:3" hidden="1" x14ac:dyDescent="0.25">
      <c r="A23" t="s">
        <v>30</v>
      </c>
      <c r="B23">
        <v>-5</v>
      </c>
      <c r="C23">
        <v>109.202</v>
      </c>
    </row>
    <row r="24" spans="1:3" hidden="1" x14ac:dyDescent="0.25">
      <c r="A24" t="s">
        <v>16</v>
      </c>
      <c r="B24">
        <v>-15</v>
      </c>
      <c r="C24">
        <v>108.57299999999999</v>
      </c>
    </row>
    <row r="25" spans="1:3" hidden="1" x14ac:dyDescent="0.25">
      <c r="A25" t="s">
        <v>11</v>
      </c>
      <c r="B25">
        <v>-35</v>
      </c>
      <c r="C25">
        <v>108.931</v>
      </c>
    </row>
    <row r="26" spans="1:3" hidden="1" x14ac:dyDescent="0.25">
      <c r="A26" t="s">
        <v>46</v>
      </c>
      <c r="B26">
        <v>-55</v>
      </c>
      <c r="C26">
        <v>108.504</v>
      </c>
    </row>
    <row r="27" spans="1:3" x14ac:dyDescent="0.25">
      <c r="A27" t="s">
        <v>42</v>
      </c>
      <c r="B27" s="3">
        <v>-70</v>
      </c>
      <c r="C27">
        <v>109.246</v>
      </c>
    </row>
    <row r="28" spans="1:3" hidden="1" x14ac:dyDescent="0.25">
      <c r="A28" t="s">
        <v>25</v>
      </c>
      <c r="B28">
        <v>-75</v>
      </c>
      <c r="C28">
        <v>109.21899999999999</v>
      </c>
    </row>
    <row r="29" spans="1:3" hidden="1" x14ac:dyDescent="0.25">
      <c r="A29" t="s">
        <v>31</v>
      </c>
      <c r="B29">
        <v>-95</v>
      </c>
      <c r="C29">
        <v>108.77500000000001</v>
      </c>
    </row>
    <row r="30" spans="1:3" hidden="1" x14ac:dyDescent="0.25">
      <c r="A30" t="s">
        <v>39</v>
      </c>
      <c r="B30">
        <v>-115</v>
      </c>
      <c r="C30">
        <v>108.56699999999999</v>
      </c>
    </row>
    <row r="31" spans="1:3" hidden="1" x14ac:dyDescent="0.25">
      <c r="A31" t="s">
        <v>29</v>
      </c>
      <c r="B31">
        <v>-585</v>
      </c>
      <c r="C31">
        <v>108.79600000000001</v>
      </c>
    </row>
    <row r="32" spans="1:3" hidden="1" x14ac:dyDescent="0.25">
      <c r="A32" t="s">
        <v>43</v>
      </c>
      <c r="B32">
        <v>-845</v>
      </c>
      <c r="C32">
        <v>108.70099999999999</v>
      </c>
    </row>
    <row r="33" spans="1:3" x14ac:dyDescent="0.25">
      <c r="A33" t="s">
        <v>7</v>
      </c>
      <c r="B33" s="3">
        <v>-870</v>
      </c>
      <c r="C33">
        <v>108.637</v>
      </c>
    </row>
    <row r="34" spans="1:3" hidden="1" x14ac:dyDescent="0.25">
      <c r="A34" t="s">
        <v>9</v>
      </c>
      <c r="B34">
        <v>-880</v>
      </c>
      <c r="C34">
        <v>108.69799999999999</v>
      </c>
    </row>
    <row r="35" spans="1:3" hidden="1" x14ac:dyDescent="0.25">
      <c r="A35" t="s">
        <v>20</v>
      </c>
      <c r="B35">
        <v>-960</v>
      </c>
      <c r="C35">
        <v>108.914</v>
      </c>
    </row>
    <row r="36" spans="1:3" x14ac:dyDescent="0.25">
      <c r="A36" t="s">
        <v>44</v>
      </c>
      <c r="B36" s="3">
        <v>-1135</v>
      </c>
      <c r="C36">
        <v>108.714</v>
      </c>
    </row>
    <row r="37" spans="1:3" hidden="1" x14ac:dyDescent="0.25">
      <c r="A37" t="s">
        <v>38</v>
      </c>
      <c r="B37">
        <v>-1.9750000000000001</v>
      </c>
      <c r="C37">
        <v>108.66200000000001</v>
      </c>
    </row>
    <row r="38" spans="1:3" hidden="1" x14ac:dyDescent="0.25">
      <c r="A38" t="s">
        <v>35</v>
      </c>
      <c r="B38">
        <v>-2.9550000000000001</v>
      </c>
      <c r="C38">
        <v>108.79900000000001</v>
      </c>
    </row>
    <row r="39" spans="1:3" hidden="1" x14ac:dyDescent="0.25">
      <c r="A39" t="s">
        <v>14</v>
      </c>
      <c r="B39">
        <v>-4.09</v>
      </c>
      <c r="C39">
        <v>108.893</v>
      </c>
    </row>
    <row r="40" spans="1:3" hidden="1" x14ac:dyDescent="0.25">
      <c r="A40" t="s">
        <v>40</v>
      </c>
      <c r="B40">
        <v>-7.27</v>
      </c>
      <c r="C40">
        <v>108.755</v>
      </c>
    </row>
  </sheetData>
  <autoFilter ref="A3:C40" xr:uid="{22CCA644-E043-4A8B-BE0D-BAE760CABC29}">
    <filterColumn colId="0">
      <filters>
        <filter val="Credit"/>
        <filter val="Goldman"/>
        <filter val="JP Morgan"/>
        <filter val="Merrill"/>
        <filter val="Morgan"/>
        <filter val="Tullett"/>
        <filter val="UBS"/>
      </filters>
    </filterColumn>
  </autoFilter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4732-E265-4066-9E43-87F25235E7DA}">
  <sheetPr codeName="Planilha13" filterMode="1"/>
  <dimension ref="A1:C45"/>
  <sheetViews>
    <sheetView workbookViewId="0">
      <selection activeCell="E68" sqref="E68"/>
    </sheetView>
  </sheetViews>
  <sheetFormatPr defaultRowHeight="15" x14ac:dyDescent="0.25"/>
  <sheetData>
    <row r="1" spans="1:3" x14ac:dyDescent="0.25">
      <c r="A1" t="s">
        <v>49</v>
      </c>
    </row>
    <row r="2" spans="1:3" x14ac:dyDescent="0.25">
      <c r="A2">
        <f>_xlfn.AGGREGATE(9,5,A4:B70)</f>
        <v>-56705</v>
      </c>
    </row>
    <row r="3" spans="1:3" x14ac:dyDescent="0.25">
      <c r="A3" t="s">
        <v>3</v>
      </c>
      <c r="B3" t="s">
        <v>4</v>
      </c>
      <c r="C3" t="s">
        <v>5</v>
      </c>
    </row>
    <row r="4" spans="1:3" hidden="1" x14ac:dyDescent="0.25">
      <c r="A4" t="s">
        <v>40</v>
      </c>
      <c r="B4">
        <v>32.043999999999997</v>
      </c>
      <c r="C4">
        <v>108.747</v>
      </c>
    </row>
    <row r="5" spans="1:3" hidden="1" x14ac:dyDescent="0.25">
      <c r="A5" t="s">
        <v>39</v>
      </c>
      <c r="B5">
        <v>23.352</v>
      </c>
      <c r="C5">
        <v>108.872</v>
      </c>
    </row>
    <row r="6" spans="1:3" hidden="1" x14ac:dyDescent="0.25">
      <c r="A6" t="s">
        <v>38</v>
      </c>
      <c r="B6">
        <v>21.55</v>
      </c>
      <c r="C6">
        <v>108.753</v>
      </c>
    </row>
    <row r="7" spans="1:3" hidden="1" x14ac:dyDescent="0.25">
      <c r="A7" t="s">
        <v>11</v>
      </c>
      <c r="B7">
        <v>10.315</v>
      </c>
      <c r="C7">
        <v>108.813</v>
      </c>
    </row>
    <row r="8" spans="1:3" hidden="1" x14ac:dyDescent="0.25">
      <c r="A8" t="s">
        <v>37</v>
      </c>
      <c r="B8">
        <v>6.9489999999999998</v>
      </c>
      <c r="C8">
        <v>108.74299999999999</v>
      </c>
    </row>
    <row r="9" spans="1:3" x14ac:dyDescent="0.25">
      <c r="A9" t="s">
        <v>42</v>
      </c>
      <c r="B9" s="1">
        <v>5376</v>
      </c>
      <c r="C9">
        <v>108.318</v>
      </c>
    </row>
    <row r="10" spans="1:3" x14ac:dyDescent="0.25">
      <c r="A10" t="s">
        <v>8</v>
      </c>
      <c r="B10" s="1">
        <v>4759</v>
      </c>
      <c r="C10">
        <v>108.78100000000001</v>
      </c>
    </row>
    <row r="11" spans="1:3" hidden="1" x14ac:dyDescent="0.25">
      <c r="A11" t="s">
        <v>10</v>
      </c>
      <c r="B11">
        <v>4.2910000000000004</v>
      </c>
      <c r="C11">
        <v>108.765</v>
      </c>
    </row>
    <row r="12" spans="1:3" hidden="1" x14ac:dyDescent="0.25">
      <c r="A12" t="s">
        <v>13</v>
      </c>
      <c r="B12">
        <v>1.581</v>
      </c>
      <c r="C12">
        <v>108.871</v>
      </c>
    </row>
    <row r="13" spans="1:3" hidden="1" x14ac:dyDescent="0.25">
      <c r="A13" t="s">
        <v>29</v>
      </c>
      <c r="B13">
        <v>1.4910000000000001</v>
      </c>
      <c r="C13">
        <v>108.82599999999999</v>
      </c>
    </row>
    <row r="14" spans="1:3" hidden="1" x14ac:dyDescent="0.25">
      <c r="A14" t="s">
        <v>34</v>
      </c>
      <c r="B14">
        <v>1.4379999999999999</v>
      </c>
      <c r="C14">
        <v>108.789</v>
      </c>
    </row>
    <row r="15" spans="1:3" hidden="1" x14ac:dyDescent="0.25">
      <c r="A15" t="s">
        <v>16</v>
      </c>
      <c r="B15">
        <v>1.3360000000000001</v>
      </c>
      <c r="C15">
        <v>108.741</v>
      </c>
    </row>
    <row r="16" spans="1:3" hidden="1" x14ac:dyDescent="0.25">
      <c r="A16" t="s">
        <v>20</v>
      </c>
      <c r="B16">
        <v>1.0620000000000001</v>
      </c>
      <c r="C16">
        <v>108.72499999999999</v>
      </c>
    </row>
    <row r="17" spans="1:3" hidden="1" x14ac:dyDescent="0.25">
      <c r="A17" t="s">
        <v>14</v>
      </c>
      <c r="B17">
        <v>1.0720000000000001</v>
      </c>
      <c r="C17">
        <v>108.742</v>
      </c>
    </row>
    <row r="18" spans="1:3" hidden="1" x14ac:dyDescent="0.25">
      <c r="A18" t="s">
        <v>26</v>
      </c>
      <c r="B18">
        <v>615</v>
      </c>
      <c r="C18">
        <v>108.657</v>
      </c>
    </row>
    <row r="19" spans="1:3" hidden="1" x14ac:dyDescent="0.25">
      <c r="A19" t="s">
        <v>31</v>
      </c>
      <c r="B19">
        <v>380</v>
      </c>
      <c r="C19">
        <v>108.863</v>
      </c>
    </row>
    <row r="20" spans="1:3" x14ac:dyDescent="0.25">
      <c r="A20" t="s">
        <v>7</v>
      </c>
      <c r="B20">
        <v>63</v>
      </c>
      <c r="C20">
        <v>109.012</v>
      </c>
    </row>
    <row r="21" spans="1:3" hidden="1" x14ac:dyDescent="0.25">
      <c r="A21" t="s">
        <v>32</v>
      </c>
      <c r="B21">
        <v>73</v>
      </c>
      <c r="C21">
        <v>108.892</v>
      </c>
    </row>
    <row r="22" spans="1:3" hidden="1" x14ac:dyDescent="0.25">
      <c r="A22" t="s">
        <v>47</v>
      </c>
      <c r="B22">
        <v>-2</v>
      </c>
      <c r="C22">
        <v>108.52500000000001</v>
      </c>
    </row>
    <row r="23" spans="1:3" hidden="1" x14ac:dyDescent="0.25">
      <c r="A23" t="s">
        <v>24</v>
      </c>
      <c r="B23">
        <v>-15</v>
      </c>
      <c r="C23">
        <v>108.553</v>
      </c>
    </row>
    <row r="24" spans="1:3" x14ac:dyDescent="0.25">
      <c r="A24" t="s">
        <v>33</v>
      </c>
      <c r="B24">
        <v>-82</v>
      </c>
      <c r="C24">
        <v>108.95</v>
      </c>
    </row>
    <row r="25" spans="1:3" hidden="1" x14ac:dyDescent="0.25">
      <c r="A25" t="s">
        <v>25</v>
      </c>
      <c r="B25">
        <v>-137</v>
      </c>
      <c r="C25">
        <v>108.48399999999999</v>
      </c>
    </row>
    <row r="26" spans="1:3" hidden="1" x14ac:dyDescent="0.25">
      <c r="A26" t="s">
        <v>22</v>
      </c>
      <c r="B26">
        <v>-180</v>
      </c>
      <c r="C26">
        <v>109.001</v>
      </c>
    </row>
    <row r="27" spans="1:3" hidden="1" x14ac:dyDescent="0.25">
      <c r="A27" t="s">
        <v>27</v>
      </c>
      <c r="B27">
        <v>-187</v>
      </c>
      <c r="C27">
        <v>108.767</v>
      </c>
    </row>
    <row r="28" spans="1:3" hidden="1" x14ac:dyDescent="0.25">
      <c r="A28" t="s">
        <v>21</v>
      </c>
      <c r="B28">
        <v>-314</v>
      </c>
      <c r="C28">
        <v>108.548</v>
      </c>
    </row>
    <row r="29" spans="1:3" hidden="1" x14ac:dyDescent="0.25">
      <c r="A29" t="s">
        <v>15</v>
      </c>
      <c r="B29">
        <v>-404</v>
      </c>
      <c r="C29">
        <v>108.813</v>
      </c>
    </row>
    <row r="30" spans="1:3" hidden="1" x14ac:dyDescent="0.25">
      <c r="A30" t="s">
        <v>45</v>
      </c>
      <c r="B30">
        <v>-491</v>
      </c>
      <c r="C30">
        <v>108.741</v>
      </c>
    </row>
    <row r="31" spans="1:3" hidden="1" x14ac:dyDescent="0.25">
      <c r="A31" t="s">
        <v>30</v>
      </c>
      <c r="B31">
        <v>-537</v>
      </c>
      <c r="C31">
        <v>108.776</v>
      </c>
    </row>
    <row r="32" spans="1:3" hidden="1" x14ac:dyDescent="0.25">
      <c r="A32" t="s">
        <v>46</v>
      </c>
      <c r="B32">
        <v>-1.3420000000000001</v>
      </c>
      <c r="C32">
        <v>108.976</v>
      </c>
    </row>
    <row r="33" spans="1:3" hidden="1" x14ac:dyDescent="0.25">
      <c r="A33" t="s">
        <v>23</v>
      </c>
      <c r="B33">
        <v>-1.5269999999999999</v>
      </c>
      <c r="C33">
        <v>108.69</v>
      </c>
    </row>
    <row r="34" spans="1:3" hidden="1" x14ac:dyDescent="0.25">
      <c r="A34" t="s">
        <v>18</v>
      </c>
      <c r="B34">
        <v>-1.5549999999999999</v>
      </c>
      <c r="C34">
        <v>108.762</v>
      </c>
    </row>
    <row r="35" spans="1:3" hidden="1" x14ac:dyDescent="0.25">
      <c r="A35" t="s">
        <v>36</v>
      </c>
      <c r="B35">
        <v>-2.5110000000000001</v>
      </c>
      <c r="C35">
        <v>108.89100000000001</v>
      </c>
    </row>
    <row r="36" spans="1:3" x14ac:dyDescent="0.25">
      <c r="A36" t="s">
        <v>17</v>
      </c>
      <c r="B36" s="1">
        <v>-2656</v>
      </c>
      <c r="C36">
        <v>108.798</v>
      </c>
    </row>
    <row r="37" spans="1:3" hidden="1" x14ac:dyDescent="0.25">
      <c r="A37" t="s">
        <v>19</v>
      </c>
      <c r="B37">
        <v>-2.9750000000000001</v>
      </c>
      <c r="C37">
        <v>108.804</v>
      </c>
    </row>
    <row r="38" spans="1:3" hidden="1" x14ac:dyDescent="0.25">
      <c r="A38" t="s">
        <v>12</v>
      </c>
      <c r="B38">
        <v>-3.0510000000000002</v>
      </c>
      <c r="C38">
        <v>108.70699999999999</v>
      </c>
    </row>
    <row r="39" spans="1:3" hidden="1" x14ac:dyDescent="0.25">
      <c r="A39" t="s">
        <v>9</v>
      </c>
      <c r="B39">
        <v>-4.444</v>
      </c>
      <c r="C39">
        <v>108.747</v>
      </c>
    </row>
    <row r="40" spans="1:3" hidden="1" x14ac:dyDescent="0.25">
      <c r="A40" t="s">
        <v>41</v>
      </c>
      <c r="B40">
        <v>-4.617</v>
      </c>
      <c r="C40">
        <v>108.739</v>
      </c>
    </row>
    <row r="41" spans="1:3" hidden="1" x14ac:dyDescent="0.25">
      <c r="A41" t="s">
        <v>43</v>
      </c>
      <c r="B41">
        <v>-5.8319999999999999</v>
      </c>
      <c r="C41">
        <v>108.779</v>
      </c>
    </row>
    <row r="42" spans="1:3" hidden="1" x14ac:dyDescent="0.25">
      <c r="A42" t="s">
        <v>35</v>
      </c>
      <c r="B42">
        <v>-7.24</v>
      </c>
      <c r="C42">
        <v>108.756</v>
      </c>
    </row>
    <row r="43" spans="1:3" hidden="1" x14ac:dyDescent="0.25">
      <c r="A43" t="s">
        <v>6</v>
      </c>
      <c r="B43">
        <v>-13.483000000000001</v>
      </c>
      <c r="C43">
        <v>108.75700000000001</v>
      </c>
    </row>
    <row r="44" spans="1:3" x14ac:dyDescent="0.25">
      <c r="A44" t="s">
        <v>28</v>
      </c>
      <c r="B44" s="1">
        <v>-14514</v>
      </c>
      <c r="C44">
        <v>108.82899999999999</v>
      </c>
    </row>
    <row r="45" spans="1:3" x14ac:dyDescent="0.25">
      <c r="A45" t="s">
        <v>44</v>
      </c>
      <c r="B45" s="1">
        <v>-49651</v>
      </c>
      <c r="C45">
        <v>108.845</v>
      </c>
    </row>
  </sheetData>
  <autoFilter ref="A3:C45" xr:uid="{09204732-E265-4066-9E43-87F25235E7DA}">
    <filterColumn colId="0">
      <filters>
        <filter val="Credit"/>
        <filter val="Goldman"/>
        <filter val="JP Morgan"/>
        <filter val="Merrill"/>
        <filter val="Morgan"/>
        <filter val="Tullett"/>
        <filter val="UBS"/>
      </filters>
    </filterColumn>
  </autoFilter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D8A5-4142-4F30-9067-9EFD70C7200C}">
  <sheetPr codeName="Planilha14" filterMode="1"/>
  <dimension ref="A1:C42"/>
  <sheetViews>
    <sheetView workbookViewId="0">
      <selection activeCell="B43" sqref="B43"/>
    </sheetView>
  </sheetViews>
  <sheetFormatPr defaultRowHeight="15" x14ac:dyDescent="0.25"/>
  <sheetData>
    <row r="1" spans="1:3" x14ac:dyDescent="0.25">
      <c r="A1" t="s">
        <v>49</v>
      </c>
    </row>
    <row r="2" spans="1:3" x14ac:dyDescent="0.25">
      <c r="A2">
        <f>_xlfn.AGGREGATE(9,5,A4:B70)</f>
        <v>335</v>
      </c>
    </row>
    <row r="3" spans="1:3" x14ac:dyDescent="0.25">
      <c r="A3" t="s">
        <v>3</v>
      </c>
      <c r="B3" t="s">
        <v>4</v>
      </c>
      <c r="C3" t="s">
        <v>5</v>
      </c>
    </row>
    <row r="4" spans="1:3" x14ac:dyDescent="0.25">
      <c r="A4" t="s">
        <v>33</v>
      </c>
      <c r="B4" s="1">
        <v>4815</v>
      </c>
      <c r="C4" s="1">
        <v>112034</v>
      </c>
    </row>
    <row r="5" spans="1:3" hidden="1" x14ac:dyDescent="0.25">
      <c r="A5" t="s">
        <v>6</v>
      </c>
      <c r="B5">
        <v>2.6749999999999998</v>
      </c>
      <c r="C5">
        <v>112.101</v>
      </c>
    </row>
    <row r="6" spans="1:3" hidden="1" x14ac:dyDescent="0.25">
      <c r="A6" t="s">
        <v>14</v>
      </c>
      <c r="B6">
        <v>2.7050000000000001</v>
      </c>
      <c r="C6">
        <v>111.98699999999999</v>
      </c>
    </row>
    <row r="7" spans="1:3" hidden="1" x14ac:dyDescent="0.25">
      <c r="A7" t="s">
        <v>37</v>
      </c>
      <c r="B7">
        <v>2.3250000000000002</v>
      </c>
      <c r="C7">
        <v>112.26300000000001</v>
      </c>
    </row>
    <row r="8" spans="1:3" x14ac:dyDescent="0.25">
      <c r="A8" t="s">
        <v>42</v>
      </c>
      <c r="B8" s="1">
        <v>2190</v>
      </c>
      <c r="C8" s="1">
        <v>112281</v>
      </c>
    </row>
    <row r="9" spans="1:3" hidden="1" x14ac:dyDescent="0.25">
      <c r="A9" t="s">
        <v>13</v>
      </c>
      <c r="B9">
        <v>1.59</v>
      </c>
      <c r="C9">
        <v>112.015</v>
      </c>
    </row>
    <row r="10" spans="1:3" hidden="1" x14ac:dyDescent="0.25">
      <c r="A10" t="s">
        <v>38</v>
      </c>
      <c r="B10">
        <v>940</v>
      </c>
      <c r="C10">
        <v>112.309</v>
      </c>
    </row>
    <row r="11" spans="1:3" hidden="1" x14ac:dyDescent="0.25">
      <c r="A11" t="s">
        <v>9</v>
      </c>
      <c r="B11">
        <v>845</v>
      </c>
      <c r="C11">
        <v>112.199</v>
      </c>
    </row>
    <row r="12" spans="1:3" hidden="1" x14ac:dyDescent="0.25">
      <c r="A12" t="s">
        <v>36</v>
      </c>
      <c r="B12">
        <v>705</v>
      </c>
      <c r="C12">
        <v>112.248</v>
      </c>
    </row>
    <row r="13" spans="1:3" hidden="1" x14ac:dyDescent="0.25">
      <c r="A13" t="s">
        <v>43</v>
      </c>
      <c r="B13">
        <v>520</v>
      </c>
      <c r="C13">
        <v>112.223</v>
      </c>
    </row>
    <row r="14" spans="1:3" x14ac:dyDescent="0.25">
      <c r="A14" t="s">
        <v>7</v>
      </c>
      <c r="B14">
        <v>340</v>
      </c>
      <c r="C14" s="1">
        <v>111661</v>
      </c>
    </row>
    <row r="15" spans="1:3" hidden="1" x14ac:dyDescent="0.25">
      <c r="A15" t="s">
        <v>46</v>
      </c>
      <c r="B15">
        <v>230</v>
      </c>
      <c r="C15">
        <v>112.33</v>
      </c>
    </row>
    <row r="16" spans="1:3" hidden="1" x14ac:dyDescent="0.25">
      <c r="A16" t="s">
        <v>19</v>
      </c>
      <c r="B16">
        <v>190</v>
      </c>
      <c r="C16">
        <v>112.611</v>
      </c>
    </row>
    <row r="17" spans="1:3" hidden="1" x14ac:dyDescent="0.25">
      <c r="A17" t="s">
        <v>32</v>
      </c>
      <c r="B17">
        <v>140</v>
      </c>
      <c r="C17">
        <v>111.8</v>
      </c>
    </row>
    <row r="18" spans="1:3" hidden="1" x14ac:dyDescent="0.25">
      <c r="A18" t="s">
        <v>26</v>
      </c>
      <c r="B18">
        <v>95</v>
      </c>
      <c r="C18">
        <v>111.917</v>
      </c>
    </row>
    <row r="19" spans="1:3" hidden="1" x14ac:dyDescent="0.25">
      <c r="A19" t="s">
        <v>30</v>
      </c>
      <c r="B19">
        <v>60</v>
      </c>
      <c r="C19">
        <v>112.375</v>
      </c>
    </row>
    <row r="20" spans="1:3" hidden="1" x14ac:dyDescent="0.25">
      <c r="A20" t="s">
        <v>16</v>
      </c>
      <c r="B20">
        <v>35</v>
      </c>
      <c r="C20">
        <v>112.026</v>
      </c>
    </row>
    <row r="21" spans="1:3" hidden="1" x14ac:dyDescent="0.25">
      <c r="A21" t="s">
        <v>25</v>
      </c>
      <c r="B21">
        <v>20</v>
      </c>
      <c r="C21">
        <v>111.92100000000001</v>
      </c>
    </row>
    <row r="22" spans="1:3" hidden="1" x14ac:dyDescent="0.25">
      <c r="A22" t="s">
        <v>12</v>
      </c>
      <c r="B22">
        <v>15</v>
      </c>
      <c r="C22">
        <v>113.53400000000001</v>
      </c>
    </row>
    <row r="23" spans="1:3" hidden="1" x14ac:dyDescent="0.25">
      <c r="A23" t="s">
        <v>18</v>
      </c>
      <c r="B23">
        <v>15</v>
      </c>
      <c r="C23">
        <v>112.46299999999999</v>
      </c>
    </row>
    <row r="24" spans="1:3" hidden="1" x14ac:dyDescent="0.25">
      <c r="A24" t="s">
        <v>24</v>
      </c>
      <c r="B24">
        <v>10</v>
      </c>
      <c r="C24">
        <v>112.273</v>
      </c>
    </row>
    <row r="25" spans="1:3" x14ac:dyDescent="0.25">
      <c r="A25" t="s">
        <v>44</v>
      </c>
      <c r="B25">
        <v>15</v>
      </c>
      <c r="C25" s="1">
        <v>112109</v>
      </c>
    </row>
    <row r="26" spans="1:3" hidden="1" x14ac:dyDescent="0.25">
      <c r="A26" t="s">
        <v>29</v>
      </c>
      <c r="B26">
        <v>5</v>
      </c>
      <c r="C26">
        <v>112.691</v>
      </c>
    </row>
    <row r="27" spans="1:3" hidden="1" x14ac:dyDescent="0.25">
      <c r="A27" t="s">
        <v>21</v>
      </c>
      <c r="B27">
        <v>-5</v>
      </c>
      <c r="C27">
        <v>111.91</v>
      </c>
    </row>
    <row r="28" spans="1:3" hidden="1" x14ac:dyDescent="0.25">
      <c r="A28" t="s">
        <v>179</v>
      </c>
      <c r="B28">
        <v>-10</v>
      </c>
      <c r="C28">
        <v>111.72499999999999</v>
      </c>
    </row>
    <row r="29" spans="1:3" hidden="1" x14ac:dyDescent="0.25">
      <c r="A29" t="s">
        <v>45</v>
      </c>
      <c r="B29">
        <v>-35</v>
      </c>
      <c r="C29">
        <v>112.71</v>
      </c>
    </row>
    <row r="30" spans="1:3" hidden="1" x14ac:dyDescent="0.25">
      <c r="A30" t="s">
        <v>31</v>
      </c>
      <c r="B30">
        <v>-40</v>
      </c>
      <c r="C30">
        <v>111.932</v>
      </c>
    </row>
    <row r="31" spans="1:3" x14ac:dyDescent="0.25">
      <c r="A31" t="s">
        <v>28</v>
      </c>
      <c r="B31">
        <v>-45</v>
      </c>
      <c r="C31" s="1">
        <v>111871</v>
      </c>
    </row>
    <row r="32" spans="1:3" hidden="1" x14ac:dyDescent="0.25">
      <c r="A32" t="s">
        <v>15</v>
      </c>
      <c r="B32">
        <v>-230</v>
      </c>
      <c r="C32">
        <v>111.97199999999999</v>
      </c>
    </row>
    <row r="33" spans="1:3" hidden="1" x14ac:dyDescent="0.25">
      <c r="A33" t="s">
        <v>35</v>
      </c>
      <c r="B33">
        <v>-500</v>
      </c>
      <c r="C33">
        <v>112.46</v>
      </c>
    </row>
    <row r="34" spans="1:3" x14ac:dyDescent="0.25">
      <c r="A34" t="s">
        <v>8</v>
      </c>
      <c r="B34">
        <v>-710</v>
      </c>
      <c r="C34" s="1">
        <v>112276</v>
      </c>
    </row>
    <row r="35" spans="1:3" hidden="1" x14ac:dyDescent="0.25">
      <c r="A35" t="s">
        <v>11</v>
      </c>
      <c r="B35">
        <v>-780</v>
      </c>
      <c r="C35">
        <v>112.099</v>
      </c>
    </row>
    <row r="36" spans="1:3" hidden="1" x14ac:dyDescent="0.25">
      <c r="A36" t="s">
        <v>39</v>
      </c>
      <c r="B36">
        <v>-1.29</v>
      </c>
      <c r="C36">
        <v>112.047</v>
      </c>
    </row>
    <row r="37" spans="1:3" hidden="1" x14ac:dyDescent="0.25">
      <c r="A37" t="s">
        <v>180</v>
      </c>
      <c r="B37">
        <v>-1.38</v>
      </c>
      <c r="C37">
        <v>112.334</v>
      </c>
    </row>
    <row r="38" spans="1:3" hidden="1" x14ac:dyDescent="0.25">
      <c r="A38" t="s">
        <v>41</v>
      </c>
      <c r="B38">
        <v>-1.835</v>
      </c>
      <c r="C38">
        <v>112.282</v>
      </c>
    </row>
    <row r="39" spans="1:3" hidden="1" x14ac:dyDescent="0.25">
      <c r="A39" t="s">
        <v>27</v>
      </c>
      <c r="B39">
        <v>-2.1549999999999998</v>
      </c>
      <c r="C39">
        <v>111.789</v>
      </c>
    </row>
    <row r="40" spans="1:3" hidden="1" x14ac:dyDescent="0.25">
      <c r="A40" t="s">
        <v>40</v>
      </c>
      <c r="B40">
        <v>-2.2149999999999999</v>
      </c>
      <c r="C40">
        <v>112.209</v>
      </c>
    </row>
    <row r="41" spans="1:3" hidden="1" x14ac:dyDescent="0.25">
      <c r="A41" t="s">
        <v>20</v>
      </c>
      <c r="B41">
        <v>-2.98</v>
      </c>
      <c r="C41">
        <v>111.98399999999999</v>
      </c>
    </row>
    <row r="42" spans="1:3" x14ac:dyDescent="0.25">
      <c r="A42" t="s">
        <v>17</v>
      </c>
      <c r="B42" s="1">
        <v>-6270</v>
      </c>
      <c r="C42" s="1">
        <v>112423</v>
      </c>
    </row>
  </sheetData>
  <autoFilter ref="A3:C42" xr:uid="{8378D8A5-4142-4F30-9067-9EFD70C7200C}">
    <filterColumn colId="0">
      <filters>
        <filter val="Credit"/>
        <filter val="Goldman"/>
        <filter val="JP Morgan"/>
        <filter val="Merrill"/>
        <filter val="Morgan"/>
        <filter val="Tullett"/>
        <filter val="UBS"/>
      </filters>
    </filterColumn>
  </autoFilter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B62EC-0BA7-4FB1-BE73-3AE8E2C56F44}">
  <sheetPr codeName="Planilha15" filterMode="1"/>
  <dimension ref="A1:C46"/>
  <sheetViews>
    <sheetView workbookViewId="0">
      <selection activeCell="O8" sqref="O8"/>
    </sheetView>
  </sheetViews>
  <sheetFormatPr defaultRowHeight="15" x14ac:dyDescent="0.25"/>
  <sheetData>
    <row r="1" spans="1:3" x14ac:dyDescent="0.25">
      <c r="A1" t="s">
        <v>49</v>
      </c>
    </row>
    <row r="2" spans="1:3" x14ac:dyDescent="0.25">
      <c r="A2">
        <f>_xlfn.AGGREGATE(9,5,A4:B70)</f>
        <v>-2452</v>
      </c>
    </row>
    <row r="3" spans="1:3" x14ac:dyDescent="0.25">
      <c r="A3" t="s">
        <v>3</v>
      </c>
      <c r="B3" t="s">
        <v>4</v>
      </c>
      <c r="C3" t="s">
        <v>5</v>
      </c>
    </row>
    <row r="4" spans="1:3" hidden="1" x14ac:dyDescent="0.25">
      <c r="A4" t="s">
        <v>6</v>
      </c>
      <c r="B4">
        <v>22.111000000000001</v>
      </c>
      <c r="C4">
        <v>112.33799999999999</v>
      </c>
    </row>
    <row r="5" spans="1:3" x14ac:dyDescent="0.25">
      <c r="A5" t="s">
        <v>7</v>
      </c>
      <c r="B5" s="1">
        <v>19865</v>
      </c>
      <c r="C5" s="1">
        <v>112163</v>
      </c>
    </row>
    <row r="6" spans="1:3" x14ac:dyDescent="0.25">
      <c r="A6" t="s">
        <v>42</v>
      </c>
      <c r="B6" s="1">
        <v>19514</v>
      </c>
      <c r="C6" s="1">
        <v>111832</v>
      </c>
    </row>
    <row r="7" spans="1:3" hidden="1" x14ac:dyDescent="0.25">
      <c r="A7" t="s">
        <v>9</v>
      </c>
      <c r="B7">
        <v>8.9819999999999993</v>
      </c>
      <c r="C7">
        <v>112.393</v>
      </c>
    </row>
    <row r="8" spans="1:3" x14ac:dyDescent="0.25">
      <c r="A8" t="s">
        <v>44</v>
      </c>
      <c r="B8" s="1">
        <v>7684</v>
      </c>
      <c r="C8" s="1">
        <v>112214</v>
      </c>
    </row>
    <row r="9" spans="1:3" hidden="1" x14ac:dyDescent="0.25">
      <c r="A9" t="s">
        <v>40</v>
      </c>
      <c r="B9">
        <v>5.2530000000000001</v>
      </c>
      <c r="C9">
        <v>112.352</v>
      </c>
    </row>
    <row r="10" spans="1:3" hidden="1" x14ac:dyDescent="0.25">
      <c r="A10" t="s">
        <v>23</v>
      </c>
      <c r="B10">
        <v>5.0220000000000002</v>
      </c>
      <c r="C10">
        <v>112.22199999999999</v>
      </c>
    </row>
    <row r="11" spans="1:3" hidden="1" x14ac:dyDescent="0.25">
      <c r="A11" t="s">
        <v>14</v>
      </c>
      <c r="B11">
        <v>3.8929999999999998</v>
      </c>
      <c r="C11">
        <v>112.45099999999999</v>
      </c>
    </row>
    <row r="12" spans="1:3" x14ac:dyDescent="0.25">
      <c r="A12" t="s">
        <v>33</v>
      </c>
      <c r="B12" s="1">
        <v>3815</v>
      </c>
      <c r="C12" s="1">
        <v>112472</v>
      </c>
    </row>
    <row r="13" spans="1:3" hidden="1" x14ac:dyDescent="0.25">
      <c r="A13" t="s">
        <v>38</v>
      </c>
      <c r="B13">
        <v>3.2559999999999998</v>
      </c>
      <c r="C13">
        <v>112.398</v>
      </c>
    </row>
    <row r="14" spans="1:3" hidden="1" x14ac:dyDescent="0.25">
      <c r="A14" t="s">
        <v>16</v>
      </c>
      <c r="B14">
        <v>2.5569999999999999</v>
      </c>
      <c r="C14">
        <v>112.36499999999999</v>
      </c>
    </row>
    <row r="15" spans="1:3" hidden="1" x14ac:dyDescent="0.25">
      <c r="A15" t="s">
        <v>18</v>
      </c>
      <c r="B15">
        <v>2.4180000000000001</v>
      </c>
      <c r="C15">
        <v>112.37</v>
      </c>
    </row>
    <row r="16" spans="1:3" hidden="1" x14ac:dyDescent="0.25">
      <c r="A16" t="s">
        <v>39</v>
      </c>
      <c r="B16">
        <v>2.12</v>
      </c>
      <c r="C16">
        <v>112.22799999999999</v>
      </c>
    </row>
    <row r="17" spans="1:3" hidden="1" x14ac:dyDescent="0.25">
      <c r="A17" t="s">
        <v>25</v>
      </c>
      <c r="B17">
        <v>2.073</v>
      </c>
      <c r="C17">
        <v>111.842</v>
      </c>
    </row>
    <row r="18" spans="1:3" hidden="1" x14ac:dyDescent="0.25">
      <c r="A18" t="s">
        <v>24</v>
      </c>
      <c r="B18">
        <v>2.0089999999999999</v>
      </c>
      <c r="C18">
        <v>113.65300000000001</v>
      </c>
    </row>
    <row r="19" spans="1:3" hidden="1" x14ac:dyDescent="0.25">
      <c r="A19" t="s">
        <v>26</v>
      </c>
      <c r="B19">
        <v>841</v>
      </c>
      <c r="C19">
        <v>112.366</v>
      </c>
    </row>
    <row r="20" spans="1:3" hidden="1" x14ac:dyDescent="0.25">
      <c r="A20" t="s">
        <v>13</v>
      </c>
      <c r="B20">
        <v>748</v>
      </c>
      <c r="C20">
        <v>112.446</v>
      </c>
    </row>
    <row r="21" spans="1:3" hidden="1" x14ac:dyDescent="0.25">
      <c r="A21" t="s">
        <v>31</v>
      </c>
      <c r="B21">
        <v>423</v>
      </c>
      <c r="C21">
        <v>112.34399999999999</v>
      </c>
    </row>
    <row r="22" spans="1:3" hidden="1" x14ac:dyDescent="0.25">
      <c r="A22" t="s">
        <v>41</v>
      </c>
      <c r="B22">
        <v>513</v>
      </c>
      <c r="C22">
        <v>112.452</v>
      </c>
    </row>
    <row r="23" spans="1:3" hidden="1" x14ac:dyDescent="0.25">
      <c r="A23" t="s">
        <v>36</v>
      </c>
      <c r="B23">
        <v>123</v>
      </c>
      <c r="C23">
        <v>112.48</v>
      </c>
    </row>
    <row r="24" spans="1:3" hidden="1" x14ac:dyDescent="0.25">
      <c r="A24" t="s">
        <v>32</v>
      </c>
      <c r="B24">
        <v>60</v>
      </c>
      <c r="C24">
        <v>112.27</v>
      </c>
    </row>
    <row r="25" spans="1:3" hidden="1" x14ac:dyDescent="0.25">
      <c r="A25" t="s">
        <v>30</v>
      </c>
      <c r="B25">
        <v>45</v>
      </c>
      <c r="C25">
        <v>112.235</v>
      </c>
    </row>
    <row r="26" spans="1:3" hidden="1" x14ac:dyDescent="0.25">
      <c r="A26" t="s">
        <v>22</v>
      </c>
      <c r="B26">
        <v>20</v>
      </c>
      <c r="C26">
        <v>111.997</v>
      </c>
    </row>
    <row r="27" spans="1:3" hidden="1" x14ac:dyDescent="0.25">
      <c r="A27" t="s">
        <v>19</v>
      </c>
      <c r="B27">
        <v>7</v>
      </c>
      <c r="C27">
        <v>112.35899999999999</v>
      </c>
    </row>
    <row r="28" spans="1:3" hidden="1" x14ac:dyDescent="0.25">
      <c r="A28" t="s">
        <v>174</v>
      </c>
      <c r="B28">
        <v>3</v>
      </c>
      <c r="C28">
        <v>111.548</v>
      </c>
    </row>
    <row r="29" spans="1:3" hidden="1" x14ac:dyDescent="0.25">
      <c r="A29" t="s">
        <v>47</v>
      </c>
      <c r="B29">
        <v>-1</v>
      </c>
      <c r="C29">
        <v>112.033</v>
      </c>
    </row>
    <row r="30" spans="1:3" hidden="1" x14ac:dyDescent="0.25">
      <c r="A30" t="s">
        <v>21</v>
      </c>
      <c r="B30">
        <v>-8</v>
      </c>
      <c r="C30">
        <v>111.949</v>
      </c>
    </row>
    <row r="31" spans="1:3" hidden="1" x14ac:dyDescent="0.25">
      <c r="A31" t="s">
        <v>15</v>
      </c>
      <c r="B31">
        <v>-61</v>
      </c>
      <c r="C31">
        <v>112.18600000000001</v>
      </c>
    </row>
    <row r="32" spans="1:3" hidden="1" x14ac:dyDescent="0.25">
      <c r="A32" t="s">
        <v>27</v>
      </c>
      <c r="B32">
        <v>-533</v>
      </c>
      <c r="C32">
        <v>112.247</v>
      </c>
    </row>
    <row r="33" spans="1:3" hidden="1" x14ac:dyDescent="0.25">
      <c r="A33" t="s">
        <v>43</v>
      </c>
      <c r="B33">
        <v>-739</v>
      </c>
      <c r="C33">
        <v>112.288</v>
      </c>
    </row>
    <row r="34" spans="1:3" hidden="1" x14ac:dyDescent="0.25">
      <c r="A34" t="s">
        <v>45</v>
      </c>
      <c r="B34">
        <v>-819</v>
      </c>
      <c r="C34">
        <v>112.191</v>
      </c>
    </row>
    <row r="35" spans="1:3" hidden="1" x14ac:dyDescent="0.25">
      <c r="A35" t="s">
        <v>11</v>
      </c>
      <c r="B35">
        <v>-1.3979999999999999</v>
      </c>
      <c r="C35">
        <v>112.349</v>
      </c>
    </row>
    <row r="36" spans="1:3" hidden="1" x14ac:dyDescent="0.25">
      <c r="A36" t="s">
        <v>29</v>
      </c>
      <c r="B36">
        <v>-2.524</v>
      </c>
      <c r="C36">
        <v>112.477</v>
      </c>
    </row>
    <row r="37" spans="1:3" x14ac:dyDescent="0.25">
      <c r="A37" t="s">
        <v>17</v>
      </c>
      <c r="B37" s="1">
        <v>-3307</v>
      </c>
      <c r="C37" s="1">
        <v>112254</v>
      </c>
    </row>
    <row r="38" spans="1:3" hidden="1" x14ac:dyDescent="0.25">
      <c r="A38" t="s">
        <v>34</v>
      </c>
      <c r="B38">
        <v>-3.5350000000000001</v>
      </c>
      <c r="C38">
        <v>112.425</v>
      </c>
    </row>
    <row r="39" spans="1:3" hidden="1" x14ac:dyDescent="0.25">
      <c r="A39" t="s">
        <v>10</v>
      </c>
      <c r="B39">
        <v>-3.6240000000000001</v>
      </c>
      <c r="C39">
        <v>112.55800000000001</v>
      </c>
    </row>
    <row r="40" spans="1:3" hidden="1" x14ac:dyDescent="0.25">
      <c r="A40" t="s">
        <v>35</v>
      </c>
      <c r="B40">
        <v>-7.2889999999999997</v>
      </c>
      <c r="C40">
        <v>112.36199999999999</v>
      </c>
    </row>
    <row r="41" spans="1:3" x14ac:dyDescent="0.25">
      <c r="A41" t="s">
        <v>28</v>
      </c>
      <c r="B41" s="1">
        <v>-8525</v>
      </c>
      <c r="C41" t="s">
        <v>184</v>
      </c>
    </row>
    <row r="42" spans="1:3" hidden="1" x14ac:dyDescent="0.25">
      <c r="A42" t="s">
        <v>20</v>
      </c>
      <c r="B42">
        <v>-8.4209999999999994</v>
      </c>
      <c r="C42">
        <v>112.517</v>
      </c>
    </row>
    <row r="43" spans="1:3" hidden="1" x14ac:dyDescent="0.25">
      <c r="A43" t="s">
        <v>12</v>
      </c>
      <c r="B43">
        <v>-9.8719999999999999</v>
      </c>
      <c r="C43">
        <v>112.30200000000001</v>
      </c>
    </row>
    <row r="44" spans="1:3" hidden="1" x14ac:dyDescent="0.25">
      <c r="A44" t="s">
        <v>37</v>
      </c>
      <c r="B44">
        <v>-10.134</v>
      </c>
      <c r="C44">
        <v>112.467</v>
      </c>
    </row>
    <row r="45" spans="1:3" hidden="1" x14ac:dyDescent="0.25">
      <c r="A45" t="s">
        <v>46</v>
      </c>
      <c r="B45">
        <v>-11.067</v>
      </c>
      <c r="C45">
        <v>112.744</v>
      </c>
    </row>
    <row r="46" spans="1:3" x14ac:dyDescent="0.25">
      <c r="A46" t="s">
        <v>8</v>
      </c>
      <c r="B46" s="1">
        <v>-41498</v>
      </c>
      <c r="C46" s="1">
        <v>112326</v>
      </c>
    </row>
  </sheetData>
  <autoFilter ref="A3:C46" xr:uid="{3D0B62EC-0BA7-4FB1-BE73-3AE8E2C56F44}">
    <filterColumn colId="0">
      <filters>
        <filter val="Credit"/>
        <filter val="Goldman"/>
        <filter val="JP Morgan"/>
        <filter val="Merrill"/>
        <filter val="Morgan"/>
        <filter val="Tullett"/>
        <filter val="UBS"/>
      </filters>
    </filterColumn>
  </autoFilter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06233-D987-420C-A808-8CA145D90952}">
  <sheetPr codeName="Planilha16" filterMode="1"/>
  <dimension ref="A1:C35"/>
  <sheetViews>
    <sheetView workbookViewId="0">
      <selection activeCell="B10" sqref="B10"/>
    </sheetView>
  </sheetViews>
  <sheetFormatPr defaultRowHeight="15" x14ac:dyDescent="0.25"/>
  <sheetData>
    <row r="1" spans="1:3" x14ac:dyDescent="0.25">
      <c r="A1" t="s">
        <v>49</v>
      </c>
    </row>
    <row r="2" spans="1:3" x14ac:dyDescent="0.25">
      <c r="A2">
        <f>_xlfn.AGGREGATE(9,5,A4:B70)</f>
        <v>-95</v>
      </c>
    </row>
    <row r="3" spans="1:3" x14ac:dyDescent="0.25">
      <c r="A3" t="s">
        <v>3</v>
      </c>
      <c r="B3" t="s">
        <v>4</v>
      </c>
      <c r="C3" t="s">
        <v>5</v>
      </c>
    </row>
    <row r="4" spans="1:3" hidden="1" x14ac:dyDescent="0.25">
      <c r="A4" t="s">
        <v>41</v>
      </c>
      <c r="B4">
        <v>1.49</v>
      </c>
      <c r="C4">
        <v>114.279</v>
      </c>
    </row>
    <row r="5" spans="1:3" x14ac:dyDescent="0.25">
      <c r="A5" t="s">
        <v>8</v>
      </c>
      <c r="B5" s="1">
        <v>1420</v>
      </c>
      <c r="C5">
        <v>114.25</v>
      </c>
    </row>
    <row r="6" spans="1:3" hidden="1" x14ac:dyDescent="0.25">
      <c r="A6" t="s">
        <v>40</v>
      </c>
      <c r="B6">
        <v>715</v>
      </c>
      <c r="C6">
        <v>114.259</v>
      </c>
    </row>
    <row r="7" spans="1:3" hidden="1" x14ac:dyDescent="0.25">
      <c r="A7" t="s">
        <v>13</v>
      </c>
      <c r="B7">
        <v>620</v>
      </c>
      <c r="C7">
        <v>114.04600000000001</v>
      </c>
    </row>
    <row r="8" spans="1:3" hidden="1" x14ac:dyDescent="0.25">
      <c r="A8" t="s">
        <v>37</v>
      </c>
      <c r="B8">
        <v>520</v>
      </c>
      <c r="C8">
        <v>114.158</v>
      </c>
    </row>
    <row r="9" spans="1:3" hidden="1" x14ac:dyDescent="0.25">
      <c r="A9" t="s">
        <v>36</v>
      </c>
      <c r="B9">
        <v>410</v>
      </c>
      <c r="C9">
        <v>114.199</v>
      </c>
    </row>
    <row r="10" spans="1:3" x14ac:dyDescent="0.25">
      <c r="A10" t="s">
        <v>44</v>
      </c>
      <c r="B10">
        <v>325</v>
      </c>
      <c r="C10">
        <v>114.215</v>
      </c>
    </row>
    <row r="11" spans="1:3" x14ac:dyDescent="0.25">
      <c r="A11" t="s">
        <v>33</v>
      </c>
      <c r="B11">
        <v>185</v>
      </c>
      <c r="C11">
        <v>114.072</v>
      </c>
    </row>
    <row r="12" spans="1:3" hidden="1" x14ac:dyDescent="0.25">
      <c r="A12" t="s">
        <v>25</v>
      </c>
      <c r="B12">
        <v>180</v>
      </c>
      <c r="C12">
        <v>113.97499999999999</v>
      </c>
    </row>
    <row r="13" spans="1:3" hidden="1" x14ac:dyDescent="0.25">
      <c r="A13" t="s">
        <v>20</v>
      </c>
      <c r="B13">
        <v>110</v>
      </c>
      <c r="C13">
        <v>114.36</v>
      </c>
    </row>
    <row r="14" spans="1:3" hidden="1" x14ac:dyDescent="0.25">
      <c r="A14" t="s">
        <v>46</v>
      </c>
      <c r="B14">
        <v>105</v>
      </c>
      <c r="C14">
        <v>114.288</v>
      </c>
    </row>
    <row r="15" spans="1:3" hidden="1" x14ac:dyDescent="0.25">
      <c r="A15" t="s">
        <v>11</v>
      </c>
      <c r="B15">
        <v>100</v>
      </c>
      <c r="C15">
        <v>113.94</v>
      </c>
    </row>
    <row r="16" spans="1:3" hidden="1" x14ac:dyDescent="0.25">
      <c r="A16" t="s">
        <v>19</v>
      </c>
      <c r="B16">
        <v>50</v>
      </c>
      <c r="C16">
        <v>114.373</v>
      </c>
    </row>
    <row r="17" spans="1:3" hidden="1" x14ac:dyDescent="0.25">
      <c r="A17" t="s">
        <v>30</v>
      </c>
      <c r="B17">
        <v>30</v>
      </c>
      <c r="C17">
        <v>114.155</v>
      </c>
    </row>
    <row r="18" spans="1:3" x14ac:dyDescent="0.25">
      <c r="A18" t="s">
        <v>28</v>
      </c>
      <c r="B18">
        <v>25</v>
      </c>
      <c r="C18">
        <v>114.374</v>
      </c>
    </row>
    <row r="19" spans="1:3" hidden="1" x14ac:dyDescent="0.25">
      <c r="A19" t="s">
        <v>45</v>
      </c>
      <c r="B19">
        <v>25</v>
      </c>
      <c r="C19">
        <v>114.337</v>
      </c>
    </row>
    <row r="20" spans="1:3" hidden="1" x14ac:dyDescent="0.25">
      <c r="A20" t="s">
        <v>29</v>
      </c>
      <c r="B20">
        <v>10</v>
      </c>
      <c r="C20">
        <v>114.443</v>
      </c>
    </row>
    <row r="21" spans="1:3" hidden="1" x14ac:dyDescent="0.25">
      <c r="A21" t="s">
        <v>24</v>
      </c>
      <c r="B21">
        <v>5</v>
      </c>
      <c r="C21">
        <v>114.25</v>
      </c>
    </row>
    <row r="22" spans="1:3" hidden="1" x14ac:dyDescent="0.25">
      <c r="A22" t="s">
        <v>18</v>
      </c>
      <c r="B22">
        <v>5</v>
      </c>
      <c r="C22">
        <v>114.277</v>
      </c>
    </row>
    <row r="23" spans="1:3" hidden="1" x14ac:dyDescent="0.25">
      <c r="A23" t="s">
        <v>16</v>
      </c>
      <c r="B23">
        <v>-15</v>
      </c>
      <c r="C23">
        <v>114.339</v>
      </c>
    </row>
    <row r="24" spans="1:3" hidden="1" x14ac:dyDescent="0.25">
      <c r="A24" t="s">
        <v>32</v>
      </c>
      <c r="B24">
        <v>-60</v>
      </c>
      <c r="C24">
        <v>114.425</v>
      </c>
    </row>
    <row r="25" spans="1:3" hidden="1" x14ac:dyDescent="0.25">
      <c r="A25" t="s">
        <v>38</v>
      </c>
      <c r="B25">
        <v>-155</v>
      </c>
      <c r="C25">
        <v>114.31</v>
      </c>
    </row>
    <row r="26" spans="1:3" hidden="1" x14ac:dyDescent="0.25">
      <c r="A26" t="s">
        <v>9</v>
      </c>
      <c r="B26">
        <v>-170</v>
      </c>
      <c r="C26">
        <v>114.26900000000001</v>
      </c>
    </row>
    <row r="27" spans="1:3" hidden="1" x14ac:dyDescent="0.25">
      <c r="A27" t="s">
        <v>15</v>
      </c>
      <c r="B27">
        <v>-210</v>
      </c>
      <c r="C27">
        <v>114.32</v>
      </c>
    </row>
    <row r="28" spans="1:3" x14ac:dyDescent="0.25">
      <c r="A28" t="s">
        <v>7</v>
      </c>
      <c r="B28">
        <v>-210</v>
      </c>
      <c r="C28">
        <v>114.20099999999999</v>
      </c>
    </row>
    <row r="29" spans="1:3" hidden="1" x14ac:dyDescent="0.25">
      <c r="A29" t="s">
        <v>35</v>
      </c>
      <c r="B29">
        <v>-250</v>
      </c>
      <c r="C29">
        <v>114.336</v>
      </c>
    </row>
    <row r="30" spans="1:3" hidden="1" x14ac:dyDescent="0.25">
      <c r="A30" t="s">
        <v>43</v>
      </c>
      <c r="B30">
        <v>-385</v>
      </c>
      <c r="C30">
        <v>114.265</v>
      </c>
    </row>
    <row r="31" spans="1:3" x14ac:dyDescent="0.25">
      <c r="A31" t="s">
        <v>42</v>
      </c>
      <c r="B31">
        <v>-460</v>
      </c>
      <c r="C31">
        <v>114.22499999999999</v>
      </c>
    </row>
    <row r="32" spans="1:3" hidden="1" x14ac:dyDescent="0.25">
      <c r="A32" t="s">
        <v>39</v>
      </c>
      <c r="B32">
        <v>-645</v>
      </c>
      <c r="C32">
        <v>114.22799999999999</v>
      </c>
    </row>
    <row r="33" spans="1:3" hidden="1" x14ac:dyDescent="0.25">
      <c r="A33" t="s">
        <v>6</v>
      </c>
      <c r="B33">
        <v>-755</v>
      </c>
      <c r="C33">
        <v>114.203</v>
      </c>
    </row>
    <row r="34" spans="1:3" x14ac:dyDescent="0.25">
      <c r="A34" t="s">
        <v>17</v>
      </c>
      <c r="B34" s="1">
        <v>-1380</v>
      </c>
      <c r="C34">
        <v>114.161</v>
      </c>
    </row>
    <row r="35" spans="1:3" hidden="1" x14ac:dyDescent="0.25">
      <c r="A35" t="s">
        <v>14</v>
      </c>
      <c r="B35">
        <v>-1.635</v>
      </c>
      <c r="C35">
        <v>114.161</v>
      </c>
    </row>
  </sheetData>
  <autoFilter ref="A3:C35" xr:uid="{89F06233-D987-420C-A808-8CA145D90952}">
    <filterColumn colId="0">
      <filters>
        <filter val="Credit"/>
        <filter val="Goldman"/>
        <filter val="JP Morgan"/>
        <filter val="Merrill"/>
        <filter val="Morgan"/>
        <filter val="Tullett"/>
        <filter val="UBS"/>
      </filters>
    </filterColumn>
  </autoFilter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7FE06-B12E-4EB4-AB20-A1F5FCFCD644}">
  <sheetPr codeName="Planilha17" filterMode="1"/>
  <dimension ref="A1:C44"/>
  <sheetViews>
    <sheetView workbookViewId="0">
      <selection activeCell="B7" sqref="B7"/>
    </sheetView>
  </sheetViews>
  <sheetFormatPr defaultRowHeight="15" x14ac:dyDescent="0.25"/>
  <sheetData>
    <row r="1" spans="1:3" x14ac:dyDescent="0.25">
      <c r="A1" t="s">
        <v>49</v>
      </c>
    </row>
    <row r="2" spans="1:3" x14ac:dyDescent="0.25">
      <c r="A2">
        <f>_xlfn.AGGREGATE(9,5,A4:B70)</f>
        <v>15281</v>
      </c>
    </row>
    <row r="3" spans="1:3" x14ac:dyDescent="0.25">
      <c r="A3" t="s">
        <v>3</v>
      </c>
      <c r="B3" t="s">
        <v>4</v>
      </c>
      <c r="C3" t="s">
        <v>5</v>
      </c>
    </row>
    <row r="4" spans="1:3" hidden="1" x14ac:dyDescent="0.25">
      <c r="A4" t="s">
        <v>6</v>
      </c>
      <c r="B4">
        <v>14.829000000000001</v>
      </c>
      <c r="C4">
        <v>114.29300000000001</v>
      </c>
    </row>
    <row r="5" spans="1:3" x14ac:dyDescent="0.25">
      <c r="A5" t="s">
        <v>44</v>
      </c>
      <c r="B5" s="1">
        <v>9694</v>
      </c>
      <c r="C5">
        <v>114.245</v>
      </c>
    </row>
    <row r="6" spans="1:3" x14ac:dyDescent="0.25">
      <c r="A6" t="s">
        <v>28</v>
      </c>
      <c r="B6" s="1">
        <v>8950</v>
      </c>
      <c r="C6">
        <v>114.306</v>
      </c>
    </row>
    <row r="7" spans="1:3" x14ac:dyDescent="0.25">
      <c r="A7" t="s">
        <v>8</v>
      </c>
      <c r="B7" s="1">
        <v>8813</v>
      </c>
      <c r="C7">
        <v>114.28400000000001</v>
      </c>
    </row>
    <row r="8" spans="1:3" hidden="1" x14ac:dyDescent="0.25">
      <c r="A8" t="s">
        <v>10</v>
      </c>
      <c r="B8">
        <v>8.08</v>
      </c>
      <c r="C8">
        <v>114.306</v>
      </c>
    </row>
    <row r="9" spans="1:3" hidden="1" x14ac:dyDescent="0.25">
      <c r="A9" t="s">
        <v>25</v>
      </c>
      <c r="B9">
        <v>7.4619999999999997</v>
      </c>
      <c r="C9">
        <v>114.473</v>
      </c>
    </row>
    <row r="10" spans="1:3" hidden="1" x14ac:dyDescent="0.25">
      <c r="A10" t="s">
        <v>34</v>
      </c>
      <c r="B10">
        <v>4.9370000000000003</v>
      </c>
      <c r="C10">
        <v>114.291</v>
      </c>
    </row>
    <row r="11" spans="1:3" hidden="1" x14ac:dyDescent="0.25">
      <c r="A11" t="s">
        <v>14</v>
      </c>
      <c r="B11">
        <v>4.7450000000000001</v>
      </c>
      <c r="C11">
        <v>114.354</v>
      </c>
    </row>
    <row r="12" spans="1:3" hidden="1" x14ac:dyDescent="0.25">
      <c r="A12" t="s">
        <v>13</v>
      </c>
      <c r="B12">
        <v>4.2699999999999996</v>
      </c>
      <c r="C12">
        <v>114.345</v>
      </c>
    </row>
    <row r="13" spans="1:3" x14ac:dyDescent="0.25">
      <c r="A13" t="s">
        <v>42</v>
      </c>
      <c r="B13" s="1">
        <v>3705</v>
      </c>
      <c r="C13">
        <v>114.179</v>
      </c>
    </row>
    <row r="14" spans="1:3" hidden="1" x14ac:dyDescent="0.25">
      <c r="A14" t="s">
        <v>38</v>
      </c>
      <c r="B14">
        <v>3.3959999999999999</v>
      </c>
      <c r="C14">
        <v>114.3</v>
      </c>
    </row>
    <row r="15" spans="1:3" hidden="1" x14ac:dyDescent="0.25">
      <c r="A15" t="s">
        <v>20</v>
      </c>
      <c r="B15">
        <v>1.151</v>
      </c>
      <c r="C15">
        <v>114.33199999999999</v>
      </c>
    </row>
    <row r="16" spans="1:3" hidden="1" x14ac:dyDescent="0.25">
      <c r="A16" t="s">
        <v>15</v>
      </c>
      <c r="B16">
        <v>899</v>
      </c>
      <c r="C16">
        <v>114.36799999999999</v>
      </c>
    </row>
    <row r="17" spans="1:3" hidden="1" x14ac:dyDescent="0.25">
      <c r="A17" t="s">
        <v>46</v>
      </c>
      <c r="B17">
        <v>665</v>
      </c>
      <c r="C17">
        <v>114.221</v>
      </c>
    </row>
    <row r="18" spans="1:3" hidden="1" x14ac:dyDescent="0.25">
      <c r="A18" t="s">
        <v>36</v>
      </c>
      <c r="B18">
        <v>610</v>
      </c>
      <c r="C18">
        <v>114.349</v>
      </c>
    </row>
    <row r="19" spans="1:3" hidden="1" x14ac:dyDescent="0.25">
      <c r="A19" t="s">
        <v>16</v>
      </c>
      <c r="B19">
        <v>466</v>
      </c>
      <c r="C19">
        <v>114.295</v>
      </c>
    </row>
    <row r="20" spans="1:3" hidden="1" x14ac:dyDescent="0.25">
      <c r="A20" t="s">
        <v>18</v>
      </c>
      <c r="B20">
        <v>395</v>
      </c>
      <c r="C20">
        <v>114.292</v>
      </c>
    </row>
    <row r="21" spans="1:3" hidden="1" x14ac:dyDescent="0.25">
      <c r="A21" t="s">
        <v>29</v>
      </c>
      <c r="B21">
        <v>216</v>
      </c>
      <c r="C21">
        <v>114.34</v>
      </c>
    </row>
    <row r="22" spans="1:3" hidden="1" x14ac:dyDescent="0.25">
      <c r="A22" t="s">
        <v>19</v>
      </c>
      <c r="B22">
        <v>221</v>
      </c>
      <c r="C22">
        <v>114.247</v>
      </c>
    </row>
    <row r="23" spans="1:3" hidden="1" x14ac:dyDescent="0.25">
      <c r="A23" t="s">
        <v>45</v>
      </c>
      <c r="B23">
        <v>136</v>
      </c>
      <c r="C23">
        <v>114.515</v>
      </c>
    </row>
    <row r="24" spans="1:3" hidden="1" x14ac:dyDescent="0.25">
      <c r="A24" t="s">
        <v>26</v>
      </c>
      <c r="B24">
        <v>130</v>
      </c>
      <c r="C24">
        <v>114.25700000000001</v>
      </c>
    </row>
    <row r="25" spans="1:3" hidden="1" x14ac:dyDescent="0.25">
      <c r="A25" t="s">
        <v>21</v>
      </c>
      <c r="B25">
        <v>116</v>
      </c>
      <c r="C25">
        <v>114.238</v>
      </c>
    </row>
    <row r="26" spans="1:3" hidden="1" x14ac:dyDescent="0.25">
      <c r="A26" t="s">
        <v>31</v>
      </c>
      <c r="B26">
        <v>64</v>
      </c>
      <c r="C26">
        <v>114.304</v>
      </c>
    </row>
    <row r="27" spans="1:3" hidden="1" x14ac:dyDescent="0.25">
      <c r="A27" t="s">
        <v>32</v>
      </c>
      <c r="B27">
        <v>45</v>
      </c>
      <c r="C27">
        <v>114.461</v>
      </c>
    </row>
    <row r="28" spans="1:3" hidden="1" x14ac:dyDescent="0.25">
      <c r="A28" t="s">
        <v>22</v>
      </c>
      <c r="B28">
        <v>25</v>
      </c>
      <c r="C28">
        <v>114.256</v>
      </c>
    </row>
    <row r="29" spans="1:3" hidden="1" x14ac:dyDescent="0.25">
      <c r="A29" t="s">
        <v>30</v>
      </c>
      <c r="B29">
        <v>7</v>
      </c>
      <c r="C29">
        <v>114.245</v>
      </c>
    </row>
    <row r="30" spans="1:3" hidden="1" x14ac:dyDescent="0.25">
      <c r="A30" t="s">
        <v>24</v>
      </c>
      <c r="B30">
        <v>5</v>
      </c>
      <c r="C30">
        <v>114.264</v>
      </c>
    </row>
    <row r="31" spans="1:3" hidden="1" x14ac:dyDescent="0.25">
      <c r="A31" t="s">
        <v>9</v>
      </c>
      <c r="B31">
        <v>-250</v>
      </c>
      <c r="C31">
        <v>114.289</v>
      </c>
    </row>
    <row r="32" spans="1:3" hidden="1" x14ac:dyDescent="0.25">
      <c r="A32" t="s">
        <v>12</v>
      </c>
      <c r="B32">
        <v>-262</v>
      </c>
      <c r="C32">
        <v>114.268</v>
      </c>
    </row>
    <row r="33" spans="1:3" hidden="1" x14ac:dyDescent="0.25">
      <c r="A33" t="s">
        <v>27</v>
      </c>
      <c r="B33">
        <v>-347</v>
      </c>
      <c r="C33">
        <v>114.36199999999999</v>
      </c>
    </row>
    <row r="34" spans="1:3" hidden="1" x14ac:dyDescent="0.25">
      <c r="A34" t="s">
        <v>11</v>
      </c>
      <c r="B34">
        <v>-389</v>
      </c>
      <c r="C34">
        <v>114.387</v>
      </c>
    </row>
    <row r="35" spans="1:3" hidden="1" x14ac:dyDescent="0.25">
      <c r="A35" t="s">
        <v>43</v>
      </c>
      <c r="B35">
        <v>-425</v>
      </c>
      <c r="C35">
        <v>114.298</v>
      </c>
    </row>
    <row r="36" spans="1:3" hidden="1" x14ac:dyDescent="0.25">
      <c r="A36" t="s">
        <v>40</v>
      </c>
      <c r="B36">
        <v>-1.1419999999999999</v>
      </c>
      <c r="C36">
        <v>114.289</v>
      </c>
    </row>
    <row r="37" spans="1:3" hidden="1" x14ac:dyDescent="0.25">
      <c r="A37" t="s">
        <v>23</v>
      </c>
      <c r="B37">
        <v>-1.9990000000000001</v>
      </c>
      <c r="C37">
        <v>114.358</v>
      </c>
    </row>
    <row r="38" spans="1:3" hidden="1" x14ac:dyDescent="0.25">
      <c r="A38" t="s">
        <v>35</v>
      </c>
      <c r="B38">
        <v>-2.6110000000000002</v>
      </c>
      <c r="C38">
        <v>114.29900000000001</v>
      </c>
    </row>
    <row r="39" spans="1:3" x14ac:dyDescent="0.25">
      <c r="A39" t="s">
        <v>33</v>
      </c>
      <c r="B39" s="1">
        <v>-3434</v>
      </c>
      <c r="C39">
        <v>114.48399999999999</v>
      </c>
    </row>
    <row r="40" spans="1:3" x14ac:dyDescent="0.25">
      <c r="A40" t="s">
        <v>17</v>
      </c>
      <c r="B40" s="1">
        <v>-5736</v>
      </c>
      <c r="C40">
        <v>114.239</v>
      </c>
    </row>
    <row r="41" spans="1:3" hidden="1" x14ac:dyDescent="0.25">
      <c r="A41" t="s">
        <v>37</v>
      </c>
      <c r="B41">
        <v>-6.5970000000000004</v>
      </c>
      <c r="C41">
        <v>114.295</v>
      </c>
    </row>
    <row r="42" spans="1:3" x14ac:dyDescent="0.25">
      <c r="A42" t="s">
        <v>7</v>
      </c>
      <c r="B42" s="1">
        <v>-6711</v>
      </c>
      <c r="C42">
        <v>114.176</v>
      </c>
    </row>
    <row r="43" spans="1:3" hidden="1" x14ac:dyDescent="0.25">
      <c r="A43" t="s">
        <v>39</v>
      </c>
      <c r="B43">
        <v>-18.372</v>
      </c>
      <c r="C43">
        <v>114.30500000000001</v>
      </c>
    </row>
    <row r="44" spans="1:3" hidden="1" x14ac:dyDescent="0.25">
      <c r="A44" t="s">
        <v>41</v>
      </c>
      <c r="B44">
        <v>-35.756999999999998</v>
      </c>
      <c r="C44">
        <v>114.279</v>
      </c>
    </row>
  </sheetData>
  <autoFilter ref="A3:C44" xr:uid="{3097FE06-B12E-4EB4-AB20-A1F5FCFCD644}">
    <filterColumn colId="0">
      <filters>
        <filter val="Credit"/>
        <filter val="Goldman"/>
        <filter val="JP Morgan"/>
        <filter val="Merrill"/>
        <filter val="Morgan"/>
        <filter val="Tullett"/>
        <filter val="UBS"/>
      </filters>
    </filterColumn>
  </autoFilter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963F-E23B-4567-8588-7CF16668CD63}">
  <sheetPr codeName="Planilha18" filterMode="1"/>
  <dimension ref="A1:C39"/>
  <sheetViews>
    <sheetView workbookViewId="0">
      <selection activeCell="E39" sqref="E39"/>
    </sheetView>
  </sheetViews>
  <sheetFormatPr defaultRowHeight="15" x14ac:dyDescent="0.25"/>
  <sheetData>
    <row r="1" spans="1:3" x14ac:dyDescent="0.25">
      <c r="A1" t="s">
        <v>49</v>
      </c>
    </row>
    <row r="2" spans="1:3" x14ac:dyDescent="0.25">
      <c r="A2">
        <f>_xlfn.AGGREGATE(9,5,A4:B70)</f>
        <v>-5425</v>
      </c>
    </row>
    <row r="3" spans="1:3" x14ac:dyDescent="0.25">
      <c r="A3" t="s">
        <v>3</v>
      </c>
      <c r="B3" t="s">
        <v>4</v>
      </c>
      <c r="C3" t="s">
        <v>5</v>
      </c>
    </row>
    <row r="4" spans="1:3" hidden="1" x14ac:dyDescent="0.25">
      <c r="A4" t="s">
        <v>38</v>
      </c>
      <c r="B4">
        <v>1.35</v>
      </c>
      <c r="C4">
        <v>115.524</v>
      </c>
    </row>
    <row r="5" spans="1:3" x14ac:dyDescent="0.25">
      <c r="A5" t="s">
        <v>17</v>
      </c>
      <c r="B5" s="1">
        <v>1315</v>
      </c>
      <c r="C5">
        <v>115.46299999999999</v>
      </c>
    </row>
    <row r="6" spans="1:3" hidden="1" x14ac:dyDescent="0.25">
      <c r="A6" t="s">
        <v>37</v>
      </c>
      <c r="B6">
        <v>1.2549999999999999</v>
      </c>
      <c r="C6">
        <v>115.488</v>
      </c>
    </row>
    <row r="7" spans="1:3" x14ac:dyDescent="0.25">
      <c r="A7" t="s">
        <v>28</v>
      </c>
      <c r="B7" s="1">
        <v>1065</v>
      </c>
      <c r="C7">
        <v>115.535</v>
      </c>
    </row>
    <row r="8" spans="1:3" hidden="1" x14ac:dyDescent="0.25">
      <c r="A8" t="s">
        <v>6</v>
      </c>
      <c r="B8">
        <v>1.0549999999999999</v>
      </c>
      <c r="C8">
        <v>115.282</v>
      </c>
    </row>
    <row r="9" spans="1:3" hidden="1" x14ac:dyDescent="0.25">
      <c r="A9" t="s">
        <v>9</v>
      </c>
      <c r="B9">
        <v>950</v>
      </c>
      <c r="C9">
        <v>115.506</v>
      </c>
    </row>
    <row r="10" spans="1:3" hidden="1" x14ac:dyDescent="0.25">
      <c r="A10" t="s">
        <v>43</v>
      </c>
      <c r="B10">
        <v>735</v>
      </c>
      <c r="C10">
        <v>116.152</v>
      </c>
    </row>
    <row r="11" spans="1:3" hidden="1" x14ac:dyDescent="0.25">
      <c r="A11" t="s">
        <v>36</v>
      </c>
      <c r="B11">
        <v>675</v>
      </c>
      <c r="C11">
        <v>115.48099999999999</v>
      </c>
    </row>
    <row r="12" spans="1:3" hidden="1" x14ac:dyDescent="0.25">
      <c r="A12" t="s">
        <v>40</v>
      </c>
      <c r="B12">
        <v>380</v>
      </c>
      <c r="C12">
        <v>114.673</v>
      </c>
    </row>
    <row r="13" spans="1:3" hidden="1" x14ac:dyDescent="0.25">
      <c r="A13" t="s">
        <v>11</v>
      </c>
      <c r="B13">
        <v>350</v>
      </c>
      <c r="C13">
        <v>115.989</v>
      </c>
    </row>
    <row r="14" spans="1:3" x14ac:dyDescent="0.25">
      <c r="A14" t="s">
        <v>44</v>
      </c>
      <c r="B14">
        <v>335</v>
      </c>
      <c r="C14">
        <v>114.023</v>
      </c>
    </row>
    <row r="15" spans="1:3" hidden="1" x14ac:dyDescent="0.25">
      <c r="A15" t="s">
        <v>39</v>
      </c>
      <c r="B15">
        <v>305</v>
      </c>
      <c r="C15">
        <v>115.35299999999999</v>
      </c>
    </row>
    <row r="16" spans="1:3" hidden="1" x14ac:dyDescent="0.25">
      <c r="A16" t="s">
        <v>45</v>
      </c>
      <c r="B16">
        <v>300</v>
      </c>
      <c r="C16">
        <v>115.65</v>
      </c>
    </row>
    <row r="17" spans="1:3" hidden="1" x14ac:dyDescent="0.25">
      <c r="A17" t="s">
        <v>13</v>
      </c>
      <c r="B17">
        <v>175</v>
      </c>
      <c r="C17">
        <v>116.422</v>
      </c>
    </row>
    <row r="18" spans="1:3" hidden="1" x14ac:dyDescent="0.25">
      <c r="A18" t="s">
        <v>29</v>
      </c>
      <c r="B18">
        <v>160</v>
      </c>
      <c r="C18">
        <v>115.512</v>
      </c>
    </row>
    <row r="19" spans="1:3" hidden="1" x14ac:dyDescent="0.25">
      <c r="A19" t="s">
        <v>19</v>
      </c>
      <c r="B19">
        <v>130</v>
      </c>
      <c r="C19">
        <v>115.776</v>
      </c>
    </row>
    <row r="20" spans="1:3" hidden="1" x14ac:dyDescent="0.25">
      <c r="A20" t="s">
        <v>20</v>
      </c>
      <c r="B20">
        <v>90</v>
      </c>
      <c r="C20">
        <v>115.661</v>
      </c>
    </row>
    <row r="21" spans="1:3" hidden="1" x14ac:dyDescent="0.25">
      <c r="A21" t="s">
        <v>25</v>
      </c>
      <c r="B21">
        <v>90</v>
      </c>
      <c r="C21">
        <v>115.378</v>
      </c>
    </row>
    <row r="22" spans="1:3" hidden="1" x14ac:dyDescent="0.25">
      <c r="A22" t="s">
        <v>32</v>
      </c>
      <c r="B22">
        <v>90</v>
      </c>
      <c r="C22">
        <v>115.11799999999999</v>
      </c>
    </row>
    <row r="23" spans="1:3" hidden="1" x14ac:dyDescent="0.25">
      <c r="A23" t="s">
        <v>12</v>
      </c>
      <c r="B23">
        <v>55</v>
      </c>
      <c r="C23">
        <v>117.051</v>
      </c>
    </row>
    <row r="24" spans="1:3" hidden="1" x14ac:dyDescent="0.25">
      <c r="A24" t="s">
        <v>30</v>
      </c>
      <c r="B24">
        <v>50</v>
      </c>
      <c r="C24">
        <v>115.458</v>
      </c>
    </row>
    <row r="25" spans="1:3" hidden="1" x14ac:dyDescent="0.25">
      <c r="A25" t="s">
        <v>16</v>
      </c>
      <c r="B25">
        <v>30</v>
      </c>
      <c r="C25">
        <v>115.36799999999999</v>
      </c>
    </row>
    <row r="26" spans="1:3" hidden="1" x14ac:dyDescent="0.25">
      <c r="A26" t="s">
        <v>18</v>
      </c>
      <c r="B26">
        <v>15</v>
      </c>
      <c r="C26">
        <v>115.54300000000001</v>
      </c>
    </row>
    <row r="27" spans="1:3" hidden="1" x14ac:dyDescent="0.25">
      <c r="A27" t="s">
        <v>24</v>
      </c>
      <c r="B27">
        <v>5</v>
      </c>
      <c r="C27">
        <v>115.54</v>
      </c>
    </row>
    <row r="28" spans="1:3" hidden="1" x14ac:dyDescent="0.25">
      <c r="A28" t="s">
        <v>34</v>
      </c>
      <c r="B28">
        <v>5</v>
      </c>
      <c r="C28">
        <v>111.54</v>
      </c>
    </row>
    <row r="29" spans="1:3" hidden="1" x14ac:dyDescent="0.25">
      <c r="A29" t="s">
        <v>31</v>
      </c>
      <c r="B29">
        <v>-5</v>
      </c>
      <c r="C29">
        <v>118.045</v>
      </c>
    </row>
    <row r="30" spans="1:3" hidden="1" x14ac:dyDescent="0.25">
      <c r="A30" t="s">
        <v>46</v>
      </c>
      <c r="B30">
        <v>-10</v>
      </c>
      <c r="C30">
        <v>115.05500000000001</v>
      </c>
    </row>
    <row r="31" spans="1:3" hidden="1" x14ac:dyDescent="0.25">
      <c r="A31" t="s">
        <v>26</v>
      </c>
      <c r="B31">
        <v>-30</v>
      </c>
      <c r="C31">
        <v>115.563</v>
      </c>
    </row>
    <row r="32" spans="1:3" hidden="1" x14ac:dyDescent="0.25">
      <c r="A32" t="s">
        <v>15</v>
      </c>
      <c r="B32">
        <v>-85</v>
      </c>
      <c r="C32">
        <v>111.985</v>
      </c>
    </row>
    <row r="33" spans="1:3" hidden="1" x14ac:dyDescent="0.25">
      <c r="A33" t="s">
        <v>35</v>
      </c>
      <c r="B33">
        <v>-205</v>
      </c>
      <c r="C33">
        <v>113.29900000000001</v>
      </c>
    </row>
    <row r="34" spans="1:3" hidden="1" x14ac:dyDescent="0.25">
      <c r="A34" t="s">
        <v>14</v>
      </c>
      <c r="B34">
        <v>-290</v>
      </c>
      <c r="C34">
        <v>116.815</v>
      </c>
    </row>
    <row r="35" spans="1:3" x14ac:dyDescent="0.25">
      <c r="A35" t="s">
        <v>8</v>
      </c>
      <c r="B35">
        <v>-675</v>
      </c>
      <c r="C35">
        <v>115.032</v>
      </c>
    </row>
    <row r="36" spans="1:3" x14ac:dyDescent="0.25">
      <c r="A36" t="s">
        <v>42</v>
      </c>
      <c r="B36" s="1">
        <v>-1520</v>
      </c>
      <c r="C36">
        <v>115.41800000000001</v>
      </c>
    </row>
    <row r="37" spans="1:3" x14ac:dyDescent="0.25">
      <c r="A37" t="s">
        <v>7</v>
      </c>
      <c r="B37" s="1">
        <v>-1975</v>
      </c>
      <c r="C37">
        <v>115.651</v>
      </c>
    </row>
    <row r="38" spans="1:3" hidden="1" x14ac:dyDescent="0.25">
      <c r="A38" t="s">
        <v>41</v>
      </c>
      <c r="B38">
        <v>-2.2000000000000002</v>
      </c>
      <c r="C38">
        <v>115.848</v>
      </c>
    </row>
    <row r="39" spans="1:3" x14ac:dyDescent="0.25">
      <c r="A39" t="s">
        <v>33</v>
      </c>
      <c r="B39" s="1">
        <v>-3970</v>
      </c>
      <c r="C39">
        <v>115.393</v>
      </c>
    </row>
  </sheetData>
  <autoFilter ref="A3:C39" xr:uid="{FEE4963F-E23B-4567-8588-7CF16668CD63}">
    <filterColumn colId="0">
      <filters>
        <filter val="Credit"/>
        <filter val="Goldman"/>
        <filter val="JP Morgan"/>
        <filter val="Merrill"/>
        <filter val="Morgan"/>
        <filter val="Tullett"/>
        <filter val="UBS"/>
      </filters>
    </filterColumn>
  </autoFilter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78CCA-31B0-41BB-8AD0-CEB5C5C59331}">
  <sheetPr codeName="Planilha19" filterMode="1"/>
  <dimension ref="A1:C44"/>
  <sheetViews>
    <sheetView workbookViewId="0">
      <selection activeCell="B42" sqref="B42"/>
    </sheetView>
  </sheetViews>
  <sheetFormatPr defaultRowHeight="15" x14ac:dyDescent="0.25"/>
  <sheetData>
    <row r="1" spans="1:3" x14ac:dyDescent="0.25">
      <c r="A1" t="s">
        <v>49</v>
      </c>
    </row>
    <row r="2" spans="1:3" x14ac:dyDescent="0.25">
      <c r="A2">
        <f>_xlfn.AGGREGATE(9,5,A4:B70)</f>
        <v>-12348</v>
      </c>
    </row>
    <row r="3" spans="1:3" x14ac:dyDescent="0.25">
      <c r="A3" t="s">
        <v>3</v>
      </c>
      <c r="B3" t="s">
        <v>4</v>
      </c>
      <c r="C3" t="s">
        <v>5</v>
      </c>
    </row>
    <row r="4" spans="1:3" x14ac:dyDescent="0.25">
      <c r="A4" t="s">
        <v>33</v>
      </c>
      <c r="B4" s="1">
        <v>13082</v>
      </c>
      <c r="C4">
        <v>115.578</v>
      </c>
    </row>
    <row r="5" spans="1:3" x14ac:dyDescent="0.25">
      <c r="A5" t="s">
        <v>28</v>
      </c>
      <c r="B5" s="1">
        <v>12025</v>
      </c>
      <c r="C5">
        <v>115.867</v>
      </c>
    </row>
    <row r="6" spans="1:3" hidden="1" x14ac:dyDescent="0.25">
      <c r="A6" t="s">
        <v>9</v>
      </c>
      <c r="B6">
        <v>9.6549999999999994</v>
      </c>
      <c r="C6">
        <v>115.75</v>
      </c>
    </row>
    <row r="7" spans="1:3" hidden="1" x14ac:dyDescent="0.25">
      <c r="A7" t="s">
        <v>41</v>
      </c>
      <c r="B7">
        <v>8.5890000000000004</v>
      </c>
      <c r="C7">
        <v>115.729</v>
      </c>
    </row>
    <row r="8" spans="1:3" hidden="1" x14ac:dyDescent="0.25">
      <c r="A8" t="s">
        <v>25</v>
      </c>
      <c r="B8">
        <v>6.02</v>
      </c>
      <c r="C8">
        <v>115.56399999999999</v>
      </c>
    </row>
    <row r="9" spans="1:3" hidden="1" x14ac:dyDescent="0.25">
      <c r="A9" t="s">
        <v>35</v>
      </c>
      <c r="B9">
        <v>5.782</v>
      </c>
      <c r="C9">
        <v>115.753</v>
      </c>
    </row>
    <row r="10" spans="1:3" hidden="1" x14ac:dyDescent="0.25">
      <c r="A10" t="s">
        <v>16</v>
      </c>
      <c r="B10">
        <v>4.4909999999999997</v>
      </c>
      <c r="C10">
        <v>115.75700000000001</v>
      </c>
    </row>
    <row r="11" spans="1:3" hidden="1" x14ac:dyDescent="0.25">
      <c r="A11" t="s">
        <v>20</v>
      </c>
      <c r="B11">
        <v>3.0939999999999999</v>
      </c>
      <c r="C11">
        <v>115.78400000000001</v>
      </c>
    </row>
    <row r="12" spans="1:3" hidden="1" x14ac:dyDescent="0.25">
      <c r="A12" t="s">
        <v>29</v>
      </c>
      <c r="B12">
        <v>1.82</v>
      </c>
      <c r="C12">
        <v>115.849</v>
      </c>
    </row>
    <row r="13" spans="1:3" hidden="1" x14ac:dyDescent="0.25">
      <c r="A13" t="s">
        <v>11</v>
      </c>
      <c r="B13">
        <v>1.6639999999999999</v>
      </c>
      <c r="C13">
        <v>115.624</v>
      </c>
    </row>
    <row r="14" spans="1:3" hidden="1" x14ac:dyDescent="0.25">
      <c r="A14" t="s">
        <v>12</v>
      </c>
      <c r="B14">
        <v>1.5680000000000001</v>
      </c>
      <c r="C14">
        <v>115.904</v>
      </c>
    </row>
    <row r="15" spans="1:3" hidden="1" x14ac:dyDescent="0.25">
      <c r="A15" t="s">
        <v>14</v>
      </c>
      <c r="B15">
        <v>1.173</v>
      </c>
      <c r="C15">
        <v>115.825</v>
      </c>
    </row>
    <row r="16" spans="1:3" hidden="1" x14ac:dyDescent="0.25">
      <c r="A16" t="s">
        <v>18</v>
      </c>
      <c r="B16">
        <v>1.038</v>
      </c>
      <c r="C16">
        <v>115.77</v>
      </c>
    </row>
    <row r="17" spans="1:3" hidden="1" x14ac:dyDescent="0.25">
      <c r="A17" t="s">
        <v>15</v>
      </c>
      <c r="B17">
        <v>1.0209999999999999</v>
      </c>
      <c r="C17">
        <v>115.745</v>
      </c>
    </row>
    <row r="18" spans="1:3" hidden="1" x14ac:dyDescent="0.25">
      <c r="A18" t="s">
        <v>21</v>
      </c>
      <c r="B18">
        <v>747</v>
      </c>
      <c r="C18">
        <v>115.661</v>
      </c>
    </row>
    <row r="19" spans="1:3" hidden="1" x14ac:dyDescent="0.25">
      <c r="A19" t="s">
        <v>6</v>
      </c>
      <c r="B19">
        <v>620</v>
      </c>
      <c r="C19">
        <v>115.764</v>
      </c>
    </row>
    <row r="20" spans="1:3" hidden="1" x14ac:dyDescent="0.25">
      <c r="A20" t="s">
        <v>31</v>
      </c>
      <c r="B20">
        <v>274</v>
      </c>
      <c r="C20">
        <v>115.807</v>
      </c>
    </row>
    <row r="21" spans="1:3" hidden="1" x14ac:dyDescent="0.25">
      <c r="A21" t="s">
        <v>45</v>
      </c>
      <c r="B21">
        <v>270</v>
      </c>
      <c r="C21">
        <v>115.535</v>
      </c>
    </row>
    <row r="22" spans="1:3" hidden="1" x14ac:dyDescent="0.25">
      <c r="A22" t="s">
        <v>26</v>
      </c>
      <c r="B22">
        <v>105</v>
      </c>
      <c r="C22">
        <v>115.71</v>
      </c>
    </row>
    <row r="23" spans="1:3" hidden="1" x14ac:dyDescent="0.25">
      <c r="A23" t="s">
        <v>19</v>
      </c>
      <c r="B23">
        <v>87</v>
      </c>
      <c r="C23">
        <v>115.678</v>
      </c>
    </row>
    <row r="24" spans="1:3" hidden="1" x14ac:dyDescent="0.25">
      <c r="A24" t="s">
        <v>30</v>
      </c>
      <c r="B24">
        <v>83</v>
      </c>
      <c r="C24">
        <v>115.80800000000001</v>
      </c>
    </row>
    <row r="25" spans="1:3" hidden="1" x14ac:dyDescent="0.25">
      <c r="A25" t="s">
        <v>27</v>
      </c>
      <c r="B25">
        <v>82</v>
      </c>
      <c r="C25">
        <v>115.625</v>
      </c>
    </row>
    <row r="26" spans="1:3" hidden="1" x14ac:dyDescent="0.25">
      <c r="A26" t="s">
        <v>32</v>
      </c>
      <c r="B26">
        <v>78</v>
      </c>
      <c r="C26">
        <v>115.73699999999999</v>
      </c>
    </row>
    <row r="27" spans="1:3" hidden="1" x14ac:dyDescent="0.25">
      <c r="A27" t="s">
        <v>24</v>
      </c>
      <c r="B27">
        <v>12</v>
      </c>
      <c r="C27">
        <v>115.59099999999999</v>
      </c>
    </row>
    <row r="28" spans="1:3" hidden="1" x14ac:dyDescent="0.25">
      <c r="A28" t="s">
        <v>23</v>
      </c>
      <c r="B28">
        <v>5</v>
      </c>
      <c r="C28">
        <v>116.021</v>
      </c>
    </row>
    <row r="29" spans="1:3" hidden="1" x14ac:dyDescent="0.25">
      <c r="A29" t="s">
        <v>47</v>
      </c>
      <c r="B29">
        <v>1</v>
      </c>
      <c r="C29">
        <v>115.503</v>
      </c>
    </row>
    <row r="30" spans="1:3" hidden="1" x14ac:dyDescent="0.25">
      <c r="A30" t="s">
        <v>34</v>
      </c>
      <c r="B30">
        <v>-326</v>
      </c>
      <c r="C30">
        <v>115.78700000000001</v>
      </c>
    </row>
    <row r="31" spans="1:3" hidden="1" x14ac:dyDescent="0.25">
      <c r="A31" t="s">
        <v>36</v>
      </c>
      <c r="B31">
        <v>-662</v>
      </c>
      <c r="C31">
        <v>115.804</v>
      </c>
    </row>
    <row r="32" spans="1:3" x14ac:dyDescent="0.25">
      <c r="A32" t="s">
        <v>8</v>
      </c>
      <c r="B32">
        <v>-715</v>
      </c>
      <c r="C32">
        <v>115.749</v>
      </c>
    </row>
    <row r="33" spans="1:3" hidden="1" x14ac:dyDescent="0.25">
      <c r="A33" t="s">
        <v>38</v>
      </c>
      <c r="B33">
        <v>-2.0640000000000001</v>
      </c>
      <c r="C33">
        <v>115.78</v>
      </c>
    </row>
    <row r="34" spans="1:3" hidden="1" x14ac:dyDescent="0.25">
      <c r="A34" t="s">
        <v>13</v>
      </c>
      <c r="B34">
        <v>-2.097</v>
      </c>
      <c r="C34">
        <v>115.816</v>
      </c>
    </row>
    <row r="35" spans="1:3" hidden="1" x14ac:dyDescent="0.25">
      <c r="A35" t="s">
        <v>10</v>
      </c>
      <c r="B35">
        <v>-3.6960000000000002</v>
      </c>
      <c r="C35">
        <v>115.849</v>
      </c>
    </row>
    <row r="36" spans="1:3" hidden="1" x14ac:dyDescent="0.25">
      <c r="A36" t="s">
        <v>46</v>
      </c>
      <c r="B36">
        <v>-4.3490000000000002</v>
      </c>
      <c r="C36">
        <v>115.45</v>
      </c>
    </row>
    <row r="37" spans="1:3" hidden="1" x14ac:dyDescent="0.25">
      <c r="A37" t="s">
        <v>43</v>
      </c>
      <c r="B37">
        <v>-4.4470000000000001</v>
      </c>
      <c r="C37">
        <v>115.71599999999999</v>
      </c>
    </row>
    <row r="38" spans="1:3" hidden="1" x14ac:dyDescent="0.25">
      <c r="A38" t="s">
        <v>37</v>
      </c>
      <c r="B38">
        <v>-4.6619999999999999</v>
      </c>
      <c r="C38">
        <v>115.727</v>
      </c>
    </row>
    <row r="39" spans="1:3" hidden="1" x14ac:dyDescent="0.25">
      <c r="A39" t="s">
        <v>40</v>
      </c>
      <c r="B39">
        <v>-4.8559999999999999</v>
      </c>
      <c r="C39">
        <v>115.76900000000001</v>
      </c>
    </row>
    <row r="40" spans="1:3" x14ac:dyDescent="0.25">
      <c r="A40" t="s">
        <v>44</v>
      </c>
      <c r="B40" s="1">
        <v>-5063</v>
      </c>
      <c r="C40">
        <v>115.554</v>
      </c>
    </row>
    <row r="41" spans="1:3" x14ac:dyDescent="0.25">
      <c r="A41" t="s">
        <v>42</v>
      </c>
      <c r="B41" s="1">
        <v>-7500</v>
      </c>
      <c r="C41">
        <v>115.663</v>
      </c>
    </row>
    <row r="42" spans="1:3" x14ac:dyDescent="0.25">
      <c r="A42" t="s">
        <v>17</v>
      </c>
      <c r="B42" s="1">
        <v>-7812</v>
      </c>
      <c r="C42">
        <v>115.67100000000001</v>
      </c>
    </row>
    <row r="43" spans="1:3" hidden="1" x14ac:dyDescent="0.25">
      <c r="A43" t="s">
        <v>39</v>
      </c>
      <c r="B43">
        <v>-8.7720000000000002</v>
      </c>
      <c r="C43">
        <v>115.742</v>
      </c>
    </row>
    <row r="44" spans="1:3" x14ac:dyDescent="0.25">
      <c r="A44" t="s">
        <v>7</v>
      </c>
      <c r="B44" s="1">
        <v>-16365</v>
      </c>
      <c r="C44">
        <v>115.816</v>
      </c>
    </row>
  </sheetData>
  <autoFilter ref="A3:C44" xr:uid="{45C78CCA-31B0-41BB-8AD0-CEB5C5C59331}">
    <filterColumn colId="0">
      <filters>
        <filter val="Credit"/>
        <filter val="Goldman"/>
        <filter val="JP Morgan"/>
        <filter val="Merrill"/>
        <filter val="Morgan"/>
        <filter val="Tullett"/>
        <filter val="UBS"/>
      </filters>
    </filterColumn>
  </autoFilter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B71DAD-B5E9-43C8-B18C-79ED29862066}">
  <sheetPr codeName="Planilha20" filterMode="1"/>
  <dimension ref="A1:C39"/>
  <sheetViews>
    <sheetView workbookViewId="0">
      <selection activeCell="B7" sqref="B7"/>
    </sheetView>
  </sheetViews>
  <sheetFormatPr defaultRowHeight="15" x14ac:dyDescent="0.25"/>
  <sheetData>
    <row r="1" spans="1:3" x14ac:dyDescent="0.25">
      <c r="A1" t="s">
        <v>49</v>
      </c>
    </row>
    <row r="2" spans="1:3" x14ac:dyDescent="0.25">
      <c r="A2">
        <f>_xlfn.AGGREGATE(9,5,A4:B70)</f>
        <v>2990</v>
      </c>
    </row>
    <row r="3" spans="1:3" x14ac:dyDescent="0.25">
      <c r="A3" t="s">
        <v>3</v>
      </c>
      <c r="B3" t="s">
        <v>4</v>
      </c>
      <c r="C3" t="s">
        <v>5</v>
      </c>
    </row>
    <row r="4" spans="1:3" hidden="1" x14ac:dyDescent="0.25">
      <c r="A4" t="s">
        <v>6</v>
      </c>
      <c r="B4">
        <v>2.7450000000000001</v>
      </c>
      <c r="C4">
        <v>116.973</v>
      </c>
    </row>
    <row r="5" spans="1:3" hidden="1" x14ac:dyDescent="0.25">
      <c r="A5" t="s">
        <v>35</v>
      </c>
      <c r="B5">
        <v>2.36</v>
      </c>
      <c r="C5">
        <v>117.121</v>
      </c>
    </row>
    <row r="6" spans="1:3" x14ac:dyDescent="0.25">
      <c r="A6" t="s">
        <v>17</v>
      </c>
      <c r="B6" s="1">
        <v>1550</v>
      </c>
      <c r="C6">
        <v>117.35</v>
      </c>
    </row>
    <row r="7" spans="1:3" x14ac:dyDescent="0.25">
      <c r="A7" t="s">
        <v>28</v>
      </c>
      <c r="B7">
        <v>720</v>
      </c>
      <c r="C7">
        <v>111.554</v>
      </c>
    </row>
    <row r="8" spans="1:3" hidden="1" x14ac:dyDescent="0.25">
      <c r="A8" t="s">
        <v>13</v>
      </c>
      <c r="B8">
        <v>560</v>
      </c>
      <c r="C8">
        <v>116.95</v>
      </c>
    </row>
    <row r="9" spans="1:3" hidden="1" x14ac:dyDescent="0.25">
      <c r="A9" t="s">
        <v>12</v>
      </c>
      <c r="B9">
        <v>465</v>
      </c>
      <c r="C9">
        <v>117.1</v>
      </c>
    </row>
    <row r="10" spans="1:3" x14ac:dyDescent="0.25">
      <c r="A10" t="s">
        <v>8</v>
      </c>
      <c r="B10">
        <v>365</v>
      </c>
      <c r="C10">
        <v>119.17400000000001</v>
      </c>
    </row>
    <row r="11" spans="1:3" x14ac:dyDescent="0.25">
      <c r="A11" t="s">
        <v>42</v>
      </c>
      <c r="B11">
        <v>340</v>
      </c>
      <c r="C11">
        <v>117.919</v>
      </c>
    </row>
    <row r="12" spans="1:3" hidden="1" x14ac:dyDescent="0.25">
      <c r="A12" t="s">
        <v>43</v>
      </c>
      <c r="B12">
        <v>325</v>
      </c>
      <c r="C12">
        <v>115.235</v>
      </c>
    </row>
    <row r="13" spans="1:3" x14ac:dyDescent="0.25">
      <c r="A13" t="s">
        <v>33</v>
      </c>
      <c r="B13">
        <v>265</v>
      </c>
      <c r="C13">
        <v>116.595</v>
      </c>
    </row>
    <row r="14" spans="1:3" x14ac:dyDescent="0.25">
      <c r="A14" t="s">
        <v>7</v>
      </c>
      <c r="B14">
        <v>155</v>
      </c>
      <c r="C14">
        <v>117.215</v>
      </c>
    </row>
    <row r="15" spans="1:3" hidden="1" x14ac:dyDescent="0.25">
      <c r="A15" t="s">
        <v>36</v>
      </c>
      <c r="B15">
        <v>135</v>
      </c>
      <c r="C15">
        <v>115.542</v>
      </c>
    </row>
    <row r="16" spans="1:3" hidden="1" x14ac:dyDescent="0.25">
      <c r="A16" t="s">
        <v>19</v>
      </c>
      <c r="B16">
        <v>100</v>
      </c>
      <c r="C16">
        <v>116.372</v>
      </c>
    </row>
    <row r="17" spans="1:3" hidden="1" x14ac:dyDescent="0.25">
      <c r="A17" t="s">
        <v>25</v>
      </c>
      <c r="B17">
        <v>80</v>
      </c>
      <c r="C17">
        <v>116.738</v>
      </c>
    </row>
    <row r="18" spans="1:3" hidden="1" x14ac:dyDescent="0.25">
      <c r="A18" t="s">
        <v>26</v>
      </c>
      <c r="B18">
        <v>40</v>
      </c>
      <c r="C18">
        <v>115.87</v>
      </c>
    </row>
    <row r="19" spans="1:3" hidden="1" x14ac:dyDescent="0.25">
      <c r="A19" t="s">
        <v>46</v>
      </c>
      <c r="B19">
        <v>35</v>
      </c>
      <c r="C19">
        <v>116.486</v>
      </c>
    </row>
    <row r="20" spans="1:3" hidden="1" x14ac:dyDescent="0.25">
      <c r="A20" t="s">
        <v>29</v>
      </c>
      <c r="B20">
        <v>10</v>
      </c>
      <c r="C20">
        <v>119.495</v>
      </c>
    </row>
    <row r="21" spans="1:3" hidden="1" x14ac:dyDescent="0.25">
      <c r="A21" t="s">
        <v>24</v>
      </c>
      <c r="B21">
        <v>5</v>
      </c>
      <c r="C21">
        <v>114.94499999999999</v>
      </c>
    </row>
    <row r="22" spans="1:3" hidden="1" x14ac:dyDescent="0.25">
      <c r="A22" t="s">
        <v>34</v>
      </c>
      <c r="B22">
        <v>5</v>
      </c>
      <c r="C22">
        <v>108.67</v>
      </c>
    </row>
    <row r="23" spans="1:3" hidden="1" x14ac:dyDescent="0.25">
      <c r="A23" t="s">
        <v>30</v>
      </c>
      <c r="B23">
        <v>-10</v>
      </c>
      <c r="C23">
        <v>117.38</v>
      </c>
    </row>
    <row r="24" spans="1:3" hidden="1" x14ac:dyDescent="0.25">
      <c r="A24" t="s">
        <v>18</v>
      </c>
      <c r="B24">
        <v>-15</v>
      </c>
      <c r="C24">
        <v>117.67</v>
      </c>
    </row>
    <row r="25" spans="1:3" hidden="1" x14ac:dyDescent="0.25">
      <c r="A25" t="s">
        <v>21</v>
      </c>
      <c r="B25">
        <v>-35</v>
      </c>
      <c r="C25">
        <v>116.953</v>
      </c>
    </row>
    <row r="26" spans="1:3" hidden="1" x14ac:dyDescent="0.25">
      <c r="A26" t="s">
        <v>38</v>
      </c>
      <c r="B26">
        <v>-45</v>
      </c>
      <c r="C26">
        <v>114.875</v>
      </c>
    </row>
    <row r="27" spans="1:3" hidden="1" x14ac:dyDescent="0.25">
      <c r="A27" t="s">
        <v>16</v>
      </c>
      <c r="B27">
        <v>-85</v>
      </c>
      <c r="C27">
        <v>116.88800000000001</v>
      </c>
    </row>
    <row r="28" spans="1:3" hidden="1" x14ac:dyDescent="0.25">
      <c r="A28" t="s">
        <v>31</v>
      </c>
      <c r="B28">
        <v>-95</v>
      </c>
      <c r="C28">
        <v>116.09399999999999</v>
      </c>
    </row>
    <row r="29" spans="1:3" hidden="1" x14ac:dyDescent="0.25">
      <c r="A29" t="s">
        <v>14</v>
      </c>
      <c r="B29">
        <v>-95</v>
      </c>
      <c r="C29">
        <v>116.89</v>
      </c>
    </row>
    <row r="30" spans="1:3" hidden="1" x14ac:dyDescent="0.25">
      <c r="A30" t="s">
        <v>11</v>
      </c>
      <c r="B30">
        <v>-160</v>
      </c>
      <c r="C30">
        <v>117.983</v>
      </c>
    </row>
    <row r="31" spans="1:3" hidden="1" x14ac:dyDescent="0.25">
      <c r="A31" t="s">
        <v>15</v>
      </c>
      <c r="B31">
        <v>-280</v>
      </c>
      <c r="C31">
        <v>117.203</v>
      </c>
    </row>
    <row r="32" spans="1:3" hidden="1" x14ac:dyDescent="0.25">
      <c r="A32" t="s">
        <v>9</v>
      </c>
      <c r="B32">
        <v>-375</v>
      </c>
      <c r="C32">
        <v>116.161</v>
      </c>
    </row>
    <row r="33" spans="1:3" hidden="1" x14ac:dyDescent="0.25">
      <c r="A33" t="s">
        <v>32</v>
      </c>
      <c r="B33">
        <v>-380</v>
      </c>
      <c r="C33">
        <v>116.61499999999999</v>
      </c>
    </row>
    <row r="34" spans="1:3" x14ac:dyDescent="0.25">
      <c r="A34" t="s">
        <v>44</v>
      </c>
      <c r="B34">
        <v>-405</v>
      </c>
      <c r="C34">
        <v>118.123</v>
      </c>
    </row>
    <row r="35" spans="1:3" hidden="1" x14ac:dyDescent="0.25">
      <c r="A35" t="s">
        <v>37</v>
      </c>
      <c r="B35">
        <v>-550</v>
      </c>
      <c r="C35">
        <v>116.884</v>
      </c>
    </row>
    <row r="36" spans="1:3" hidden="1" x14ac:dyDescent="0.25">
      <c r="A36" t="s">
        <v>39</v>
      </c>
      <c r="B36">
        <v>-940</v>
      </c>
      <c r="C36">
        <v>116.63800000000001</v>
      </c>
    </row>
    <row r="37" spans="1:3" hidden="1" x14ac:dyDescent="0.25">
      <c r="A37" t="s">
        <v>40</v>
      </c>
      <c r="B37">
        <v>-1.4450000000000001</v>
      </c>
      <c r="C37">
        <v>116.27800000000001</v>
      </c>
    </row>
    <row r="38" spans="1:3" hidden="1" x14ac:dyDescent="0.25">
      <c r="A38" t="s">
        <v>20</v>
      </c>
      <c r="B38">
        <v>-1.5649999999999999</v>
      </c>
      <c r="C38">
        <v>116.26600000000001</v>
      </c>
    </row>
    <row r="39" spans="1:3" hidden="1" x14ac:dyDescent="0.25">
      <c r="A39" t="s">
        <v>41</v>
      </c>
      <c r="B39">
        <v>-3.78</v>
      </c>
      <c r="C39">
        <v>116.873</v>
      </c>
    </row>
  </sheetData>
  <autoFilter ref="A3:C39" xr:uid="{58B71DAD-B5E9-43C8-B18C-79ED29862066}">
    <filterColumn colId="0">
      <filters>
        <filter val="Credit"/>
        <filter val="Goldman"/>
        <filter val="JP Morgan"/>
        <filter val="Merrill"/>
        <filter val="Morgan"/>
        <filter val="Tullett"/>
        <filter val="UBS"/>
      </filters>
    </filterColumn>
  </autoFilter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8493F-8DFA-43E3-B77E-CBFA60783BBC}">
  <sheetPr codeName="Planilha21" filterMode="1"/>
  <dimension ref="A1:C43"/>
  <sheetViews>
    <sheetView workbookViewId="0">
      <selection activeCell="B40" sqref="B40"/>
    </sheetView>
  </sheetViews>
  <sheetFormatPr defaultRowHeight="15" x14ac:dyDescent="0.25"/>
  <sheetData>
    <row r="1" spans="1:3" x14ac:dyDescent="0.25">
      <c r="A1" t="s">
        <v>49</v>
      </c>
    </row>
    <row r="2" spans="1:3" x14ac:dyDescent="0.25">
      <c r="A2">
        <f>_xlfn.AGGREGATE(9,5,A4:B70)</f>
        <v>-36913</v>
      </c>
    </row>
    <row r="3" spans="1:3" x14ac:dyDescent="0.25">
      <c r="A3" t="s">
        <v>3</v>
      </c>
      <c r="B3" t="s">
        <v>4</v>
      </c>
      <c r="C3" t="s">
        <v>5</v>
      </c>
    </row>
    <row r="4" spans="1:3" hidden="1" x14ac:dyDescent="0.25">
      <c r="A4" t="s">
        <v>41</v>
      </c>
      <c r="B4">
        <v>41.204000000000001</v>
      </c>
      <c r="C4">
        <v>116.90900000000001</v>
      </c>
    </row>
    <row r="5" spans="1:3" hidden="1" x14ac:dyDescent="0.25">
      <c r="A5" t="s">
        <v>9</v>
      </c>
      <c r="B5">
        <v>20.696999999999999</v>
      </c>
      <c r="C5">
        <v>116.994</v>
      </c>
    </row>
    <row r="6" spans="1:3" hidden="1" x14ac:dyDescent="0.25">
      <c r="A6" t="s">
        <v>25</v>
      </c>
      <c r="B6">
        <v>5.5919999999999996</v>
      </c>
      <c r="C6">
        <v>115.81100000000001</v>
      </c>
    </row>
    <row r="7" spans="1:3" hidden="1" x14ac:dyDescent="0.25">
      <c r="A7" t="s">
        <v>37</v>
      </c>
      <c r="B7">
        <v>5.4580000000000002</v>
      </c>
      <c r="C7">
        <v>117.047</v>
      </c>
    </row>
    <row r="8" spans="1:3" hidden="1" x14ac:dyDescent="0.25">
      <c r="A8" t="s">
        <v>24</v>
      </c>
      <c r="B8">
        <v>5</v>
      </c>
      <c r="C8">
        <v>117.051</v>
      </c>
    </row>
    <row r="9" spans="1:3" hidden="1" x14ac:dyDescent="0.25">
      <c r="A9" t="s">
        <v>20</v>
      </c>
      <c r="B9">
        <v>2.5249999999999999</v>
      </c>
      <c r="C9">
        <v>117.389</v>
      </c>
    </row>
    <row r="10" spans="1:3" hidden="1" x14ac:dyDescent="0.25">
      <c r="A10" t="s">
        <v>13</v>
      </c>
      <c r="B10">
        <v>2.1139999999999999</v>
      </c>
      <c r="C10">
        <v>118.02200000000001</v>
      </c>
    </row>
    <row r="11" spans="1:3" hidden="1" x14ac:dyDescent="0.25">
      <c r="A11" t="s">
        <v>15</v>
      </c>
      <c r="B11">
        <v>973</v>
      </c>
      <c r="C11">
        <v>117.58</v>
      </c>
    </row>
    <row r="12" spans="1:3" hidden="1" x14ac:dyDescent="0.25">
      <c r="A12" t="s">
        <v>29</v>
      </c>
      <c r="B12">
        <v>629</v>
      </c>
      <c r="C12">
        <v>116.117</v>
      </c>
    </row>
    <row r="13" spans="1:3" hidden="1" x14ac:dyDescent="0.25">
      <c r="A13" t="s">
        <v>12</v>
      </c>
      <c r="B13">
        <v>623</v>
      </c>
      <c r="C13">
        <v>119.797</v>
      </c>
    </row>
    <row r="14" spans="1:3" hidden="1" x14ac:dyDescent="0.25">
      <c r="A14" t="s">
        <v>31</v>
      </c>
      <c r="B14">
        <v>474</v>
      </c>
      <c r="C14">
        <v>116.48699999999999</v>
      </c>
    </row>
    <row r="15" spans="1:3" hidden="1" x14ac:dyDescent="0.25">
      <c r="A15" t="s">
        <v>19</v>
      </c>
      <c r="B15">
        <v>209</v>
      </c>
      <c r="C15">
        <v>117.26</v>
      </c>
    </row>
    <row r="16" spans="1:3" x14ac:dyDescent="0.25">
      <c r="A16" t="s">
        <v>28</v>
      </c>
      <c r="B16">
        <v>205</v>
      </c>
      <c r="C16">
        <v>119.294</v>
      </c>
    </row>
    <row r="17" spans="1:3" hidden="1" x14ac:dyDescent="0.25">
      <c r="A17" t="s">
        <v>40</v>
      </c>
      <c r="B17">
        <v>100</v>
      </c>
      <c r="C17">
        <v>-20.3</v>
      </c>
    </row>
    <row r="18" spans="1:3" hidden="1" x14ac:dyDescent="0.25">
      <c r="A18" t="s">
        <v>27</v>
      </c>
      <c r="B18">
        <v>40</v>
      </c>
      <c r="C18">
        <v>118.55800000000001</v>
      </c>
    </row>
    <row r="19" spans="1:3" hidden="1" x14ac:dyDescent="0.25">
      <c r="A19" t="s">
        <v>21</v>
      </c>
      <c r="B19">
        <v>38</v>
      </c>
      <c r="C19">
        <v>106.986</v>
      </c>
    </row>
    <row r="20" spans="1:3" hidden="1" x14ac:dyDescent="0.25">
      <c r="A20" t="s">
        <v>45</v>
      </c>
      <c r="B20">
        <v>10</v>
      </c>
      <c r="C20">
        <v>117.008</v>
      </c>
    </row>
    <row r="21" spans="1:3" hidden="1" x14ac:dyDescent="0.25">
      <c r="A21" t="s">
        <v>22</v>
      </c>
      <c r="B21">
        <v>5</v>
      </c>
      <c r="C21">
        <v>115.468</v>
      </c>
    </row>
    <row r="22" spans="1:3" hidden="1" x14ac:dyDescent="0.25">
      <c r="A22" t="s">
        <v>30</v>
      </c>
      <c r="B22">
        <v>-8</v>
      </c>
      <c r="C22">
        <v>135.029</v>
      </c>
    </row>
    <row r="23" spans="1:3" hidden="1" x14ac:dyDescent="0.25">
      <c r="A23" t="s">
        <v>32</v>
      </c>
      <c r="B23">
        <v>-35</v>
      </c>
      <c r="C23">
        <v>116.846</v>
      </c>
    </row>
    <row r="24" spans="1:3" hidden="1" x14ac:dyDescent="0.25">
      <c r="A24" t="s">
        <v>26</v>
      </c>
      <c r="B24">
        <v>-60</v>
      </c>
      <c r="C24">
        <v>117.282</v>
      </c>
    </row>
    <row r="25" spans="1:3" hidden="1" x14ac:dyDescent="0.25">
      <c r="A25" t="s">
        <v>34</v>
      </c>
      <c r="B25">
        <v>-94</v>
      </c>
      <c r="C25">
        <v>127.244</v>
      </c>
    </row>
    <row r="26" spans="1:3" hidden="1" x14ac:dyDescent="0.25">
      <c r="A26" t="s">
        <v>18</v>
      </c>
      <c r="B26">
        <v>-375</v>
      </c>
      <c r="C26">
        <v>113.157</v>
      </c>
    </row>
    <row r="27" spans="1:3" hidden="1" x14ac:dyDescent="0.25">
      <c r="A27" t="s">
        <v>36</v>
      </c>
      <c r="B27">
        <v>-689</v>
      </c>
      <c r="C27">
        <v>114.846</v>
      </c>
    </row>
    <row r="28" spans="1:3" hidden="1" x14ac:dyDescent="0.25">
      <c r="A28" t="s">
        <v>16</v>
      </c>
      <c r="B28">
        <v>-722</v>
      </c>
      <c r="C28">
        <v>104.26900000000001</v>
      </c>
    </row>
    <row r="29" spans="1:3" x14ac:dyDescent="0.25">
      <c r="A29" t="s">
        <v>42</v>
      </c>
      <c r="B29">
        <v>-756</v>
      </c>
      <c r="C29">
        <v>114.962</v>
      </c>
    </row>
    <row r="30" spans="1:3" hidden="1" x14ac:dyDescent="0.25">
      <c r="A30" t="s">
        <v>38</v>
      </c>
      <c r="B30">
        <v>-849</v>
      </c>
      <c r="C30">
        <v>114.389</v>
      </c>
    </row>
    <row r="31" spans="1:3" hidden="1" x14ac:dyDescent="0.25">
      <c r="A31" t="s">
        <v>23</v>
      </c>
      <c r="B31">
        <v>-1.01</v>
      </c>
      <c r="C31">
        <v>117.785</v>
      </c>
    </row>
    <row r="32" spans="1:3" hidden="1" x14ac:dyDescent="0.25">
      <c r="A32" t="s">
        <v>10</v>
      </c>
      <c r="B32">
        <v>-1.101</v>
      </c>
      <c r="C32">
        <v>118.795</v>
      </c>
    </row>
    <row r="33" spans="1:3" hidden="1" x14ac:dyDescent="0.25">
      <c r="A33" t="s">
        <v>11</v>
      </c>
      <c r="B33">
        <v>-1.64</v>
      </c>
      <c r="C33">
        <v>118.702</v>
      </c>
    </row>
    <row r="34" spans="1:3" hidden="1" x14ac:dyDescent="0.25">
      <c r="A34" t="s">
        <v>35</v>
      </c>
      <c r="B34">
        <v>-2.63</v>
      </c>
      <c r="C34">
        <v>117.538</v>
      </c>
    </row>
    <row r="35" spans="1:3" x14ac:dyDescent="0.25">
      <c r="A35" t="s">
        <v>17</v>
      </c>
      <c r="B35" s="1">
        <v>-2718</v>
      </c>
      <c r="C35">
        <v>117.312</v>
      </c>
    </row>
    <row r="36" spans="1:3" x14ac:dyDescent="0.25">
      <c r="A36" t="s">
        <v>8</v>
      </c>
      <c r="B36" s="1">
        <v>-3794</v>
      </c>
      <c r="C36">
        <v>115.316</v>
      </c>
    </row>
    <row r="37" spans="1:3" hidden="1" x14ac:dyDescent="0.25">
      <c r="A37" t="s">
        <v>6</v>
      </c>
      <c r="B37">
        <v>-4.2539999999999996</v>
      </c>
      <c r="C37">
        <v>117.66500000000001</v>
      </c>
    </row>
    <row r="38" spans="1:3" hidden="1" x14ac:dyDescent="0.25">
      <c r="A38" t="s">
        <v>39</v>
      </c>
      <c r="B38">
        <v>-5.6269999999999998</v>
      </c>
      <c r="C38">
        <v>115.63800000000001</v>
      </c>
    </row>
    <row r="39" spans="1:3" x14ac:dyDescent="0.25">
      <c r="A39" t="s">
        <v>33</v>
      </c>
      <c r="B39" s="1">
        <v>-6660</v>
      </c>
      <c r="C39">
        <v>115.904</v>
      </c>
    </row>
    <row r="40" spans="1:3" x14ac:dyDescent="0.25">
      <c r="A40" t="s">
        <v>44</v>
      </c>
      <c r="B40" s="1">
        <v>-7669</v>
      </c>
      <c r="C40">
        <v>117.518</v>
      </c>
    </row>
    <row r="41" spans="1:3" hidden="1" x14ac:dyDescent="0.25">
      <c r="A41" t="s">
        <v>14</v>
      </c>
      <c r="B41">
        <v>-10.731999999999999</v>
      </c>
      <c r="C41">
        <v>117.163</v>
      </c>
    </row>
    <row r="42" spans="1:3" x14ac:dyDescent="0.25">
      <c r="A42" t="s">
        <v>7</v>
      </c>
      <c r="B42" s="1">
        <v>-15521</v>
      </c>
      <c r="C42">
        <v>117.011</v>
      </c>
    </row>
    <row r="43" spans="1:3" hidden="1" x14ac:dyDescent="0.25">
      <c r="A43" t="s">
        <v>43</v>
      </c>
      <c r="B43">
        <v>-18.952000000000002</v>
      </c>
      <c r="C43">
        <v>117.035</v>
      </c>
    </row>
  </sheetData>
  <autoFilter ref="A3:C43" xr:uid="{5028493F-8DFA-43E3-B77E-CBFA60783BBC}">
    <filterColumn colId="0">
      <filters>
        <filter val="Credit"/>
        <filter val="Goldman"/>
        <filter val="JP Morgan"/>
        <filter val="Merrill"/>
        <filter val="Morgan"/>
        <filter val="Tullett"/>
        <filter val="UBS"/>
      </filters>
    </filterColumn>
  </autoFilter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6B78A-24F8-4AD7-8287-B87086BD7626}">
  <sheetPr codeName="Planilha22" filterMode="1"/>
  <dimension ref="A1:C38"/>
  <sheetViews>
    <sheetView workbookViewId="0">
      <selection activeCell="B37" sqref="B37"/>
    </sheetView>
  </sheetViews>
  <sheetFormatPr defaultRowHeight="15" x14ac:dyDescent="0.25"/>
  <sheetData>
    <row r="1" spans="1:3" x14ac:dyDescent="0.25">
      <c r="A1" t="s">
        <v>49</v>
      </c>
    </row>
    <row r="2" spans="1:3" x14ac:dyDescent="0.25">
      <c r="A2">
        <f>_xlfn.AGGREGATE(9,5,A4:B70)</f>
        <v>-3155</v>
      </c>
    </row>
    <row r="3" spans="1:3" x14ac:dyDescent="0.25">
      <c r="A3" t="s">
        <v>3</v>
      </c>
      <c r="B3" t="s">
        <v>4</v>
      </c>
      <c r="C3" t="s">
        <v>5</v>
      </c>
    </row>
    <row r="4" spans="1:3" hidden="1" x14ac:dyDescent="0.25">
      <c r="A4" t="s">
        <v>41</v>
      </c>
      <c r="B4">
        <v>8.4949999999999992</v>
      </c>
      <c r="C4">
        <v>116.47799999999999</v>
      </c>
    </row>
    <row r="5" spans="1:3" x14ac:dyDescent="0.25">
      <c r="A5" t="s">
        <v>7</v>
      </c>
      <c r="B5">
        <v>475</v>
      </c>
      <c r="C5" s="1">
        <v>117249</v>
      </c>
    </row>
    <row r="6" spans="1:3" x14ac:dyDescent="0.25">
      <c r="A6" t="s">
        <v>8</v>
      </c>
      <c r="B6">
        <v>380</v>
      </c>
      <c r="C6" s="1">
        <v>114605</v>
      </c>
    </row>
    <row r="7" spans="1:3" hidden="1" x14ac:dyDescent="0.25">
      <c r="A7" t="s">
        <v>43</v>
      </c>
      <c r="B7">
        <v>345</v>
      </c>
      <c r="C7">
        <v>114.83499999999999</v>
      </c>
    </row>
    <row r="8" spans="1:3" hidden="1" x14ac:dyDescent="0.25">
      <c r="A8" t="s">
        <v>13</v>
      </c>
      <c r="B8">
        <v>270</v>
      </c>
      <c r="C8">
        <v>116.592</v>
      </c>
    </row>
    <row r="9" spans="1:3" x14ac:dyDescent="0.25">
      <c r="A9" t="s">
        <v>17</v>
      </c>
      <c r="B9">
        <v>230</v>
      </c>
      <c r="C9" s="1">
        <v>116848</v>
      </c>
    </row>
    <row r="10" spans="1:3" hidden="1" x14ac:dyDescent="0.25">
      <c r="A10" t="s">
        <v>9</v>
      </c>
      <c r="B10">
        <v>225</v>
      </c>
      <c r="C10">
        <v>116.122</v>
      </c>
    </row>
    <row r="11" spans="1:3" hidden="1" x14ac:dyDescent="0.25">
      <c r="A11" t="s">
        <v>36</v>
      </c>
      <c r="B11">
        <v>185</v>
      </c>
      <c r="C11">
        <v>117.464</v>
      </c>
    </row>
    <row r="12" spans="1:3" hidden="1" x14ac:dyDescent="0.25">
      <c r="A12" t="s">
        <v>35</v>
      </c>
      <c r="B12">
        <v>125</v>
      </c>
      <c r="C12">
        <v>122.593</v>
      </c>
    </row>
    <row r="13" spans="1:3" hidden="1" x14ac:dyDescent="0.25">
      <c r="A13" t="s">
        <v>32</v>
      </c>
      <c r="B13">
        <v>50</v>
      </c>
      <c r="C13">
        <v>116.80200000000001</v>
      </c>
    </row>
    <row r="14" spans="1:3" hidden="1" x14ac:dyDescent="0.25">
      <c r="A14" t="s">
        <v>29</v>
      </c>
      <c r="B14">
        <v>20</v>
      </c>
      <c r="C14">
        <v>116.246</v>
      </c>
    </row>
    <row r="15" spans="1:3" hidden="1" x14ac:dyDescent="0.25">
      <c r="A15" t="s">
        <v>12</v>
      </c>
      <c r="B15">
        <v>5</v>
      </c>
      <c r="C15">
        <v>116.955</v>
      </c>
    </row>
    <row r="16" spans="1:3" hidden="1" x14ac:dyDescent="0.25">
      <c r="A16" t="s">
        <v>24</v>
      </c>
      <c r="B16">
        <v>-15</v>
      </c>
      <c r="C16">
        <v>116.3</v>
      </c>
    </row>
    <row r="17" spans="1:3" hidden="1" x14ac:dyDescent="0.25">
      <c r="A17" t="s">
        <v>16</v>
      </c>
      <c r="B17">
        <v>-15</v>
      </c>
      <c r="C17">
        <v>107.503</v>
      </c>
    </row>
    <row r="18" spans="1:3" hidden="1" x14ac:dyDescent="0.25">
      <c r="A18" t="s">
        <v>22</v>
      </c>
      <c r="B18">
        <v>-20</v>
      </c>
      <c r="C18">
        <v>116.026</v>
      </c>
    </row>
    <row r="19" spans="1:3" hidden="1" x14ac:dyDescent="0.25">
      <c r="A19" t="s">
        <v>26</v>
      </c>
      <c r="B19">
        <v>-20</v>
      </c>
      <c r="C19">
        <v>117.428</v>
      </c>
    </row>
    <row r="20" spans="1:3" hidden="1" x14ac:dyDescent="0.25">
      <c r="A20" t="s">
        <v>31</v>
      </c>
      <c r="B20">
        <v>-40</v>
      </c>
      <c r="C20">
        <v>116.18300000000001</v>
      </c>
    </row>
    <row r="21" spans="1:3" hidden="1" x14ac:dyDescent="0.25">
      <c r="A21" t="s">
        <v>30</v>
      </c>
      <c r="B21">
        <v>-40</v>
      </c>
      <c r="C21">
        <v>116.749</v>
      </c>
    </row>
    <row r="22" spans="1:3" x14ac:dyDescent="0.25">
      <c r="A22" t="s">
        <v>44</v>
      </c>
      <c r="B22">
        <v>-55</v>
      </c>
      <c r="C22" s="1">
        <v>118040</v>
      </c>
    </row>
    <row r="23" spans="1:3" hidden="1" x14ac:dyDescent="0.25">
      <c r="A23" t="s">
        <v>38</v>
      </c>
      <c r="B23">
        <v>-85</v>
      </c>
      <c r="C23">
        <v>119.14</v>
      </c>
    </row>
    <row r="24" spans="1:3" hidden="1" x14ac:dyDescent="0.25">
      <c r="A24" t="s">
        <v>20</v>
      </c>
      <c r="B24">
        <v>-130</v>
      </c>
      <c r="C24">
        <v>116.681</v>
      </c>
    </row>
    <row r="25" spans="1:3" hidden="1" x14ac:dyDescent="0.25">
      <c r="A25" t="s">
        <v>14</v>
      </c>
      <c r="B25">
        <v>-140</v>
      </c>
      <c r="C25">
        <v>112.631</v>
      </c>
    </row>
    <row r="26" spans="1:3" hidden="1" x14ac:dyDescent="0.25">
      <c r="A26" t="s">
        <v>25</v>
      </c>
      <c r="B26">
        <v>-195</v>
      </c>
      <c r="C26">
        <v>116.974</v>
      </c>
    </row>
    <row r="27" spans="1:3" hidden="1" x14ac:dyDescent="0.25">
      <c r="A27" t="s">
        <v>19</v>
      </c>
      <c r="B27">
        <v>-200</v>
      </c>
      <c r="C27">
        <v>117.358</v>
      </c>
    </row>
    <row r="28" spans="1:3" hidden="1" x14ac:dyDescent="0.25">
      <c r="A28" t="s">
        <v>46</v>
      </c>
      <c r="B28">
        <v>-255</v>
      </c>
      <c r="C28">
        <v>116.51900000000001</v>
      </c>
    </row>
    <row r="29" spans="1:3" hidden="1" x14ac:dyDescent="0.25">
      <c r="A29" t="s">
        <v>45</v>
      </c>
      <c r="B29">
        <v>-300</v>
      </c>
      <c r="C29">
        <v>116.554</v>
      </c>
    </row>
    <row r="30" spans="1:3" hidden="1" x14ac:dyDescent="0.25">
      <c r="A30" t="s">
        <v>15</v>
      </c>
      <c r="B30">
        <v>-310</v>
      </c>
      <c r="C30">
        <v>117.217</v>
      </c>
    </row>
    <row r="31" spans="1:3" hidden="1" x14ac:dyDescent="0.25">
      <c r="A31" t="s">
        <v>6</v>
      </c>
      <c r="B31">
        <v>-315</v>
      </c>
      <c r="C31">
        <v>111.929</v>
      </c>
    </row>
    <row r="32" spans="1:3" hidden="1" x14ac:dyDescent="0.25">
      <c r="A32" t="s">
        <v>39</v>
      </c>
      <c r="B32">
        <v>-395</v>
      </c>
      <c r="C32">
        <v>117.166</v>
      </c>
    </row>
    <row r="33" spans="1:3" x14ac:dyDescent="0.25">
      <c r="A33" t="s">
        <v>42</v>
      </c>
      <c r="B33">
        <v>-790</v>
      </c>
      <c r="C33" s="1">
        <v>116596</v>
      </c>
    </row>
    <row r="34" spans="1:3" hidden="1" x14ac:dyDescent="0.25">
      <c r="A34" t="s">
        <v>11</v>
      </c>
      <c r="B34">
        <v>-1.02</v>
      </c>
      <c r="C34">
        <v>116.52800000000001</v>
      </c>
    </row>
    <row r="35" spans="1:3" hidden="1" x14ac:dyDescent="0.25">
      <c r="A35" t="s">
        <v>40</v>
      </c>
      <c r="B35">
        <v>-1.105</v>
      </c>
      <c r="C35">
        <v>117.259</v>
      </c>
    </row>
    <row r="36" spans="1:3" x14ac:dyDescent="0.25">
      <c r="A36" t="s">
        <v>33</v>
      </c>
      <c r="B36" s="1">
        <v>-1670</v>
      </c>
      <c r="C36" s="1">
        <v>116855</v>
      </c>
    </row>
    <row r="37" spans="1:3" x14ac:dyDescent="0.25">
      <c r="A37" t="s">
        <v>28</v>
      </c>
      <c r="B37" s="1">
        <v>-1725</v>
      </c>
      <c r="C37" s="1">
        <v>116149</v>
      </c>
    </row>
    <row r="38" spans="1:3" hidden="1" x14ac:dyDescent="0.25">
      <c r="A38" t="s">
        <v>37</v>
      </c>
      <c r="B38">
        <v>-1.9650000000000001</v>
      </c>
      <c r="C38">
        <v>116.46599999999999</v>
      </c>
    </row>
  </sheetData>
  <autoFilter ref="A3:C38" xr:uid="{C2F6B78A-24F8-4AD7-8287-B87086BD7626}">
    <filterColumn colId="0">
      <filters>
        <filter val="Credit"/>
        <filter val="Goldman"/>
        <filter val="JP Morgan"/>
        <filter val="Merrill"/>
        <filter val="Morgan"/>
        <filter val="Tullett"/>
        <filter val="UBS"/>
      </filters>
    </filterColumn>
  </autoFilter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3BB26-3C77-4F10-AF9C-34C6B7D64FEC}">
  <sheetPr codeName="Planilha23" filterMode="1"/>
  <dimension ref="A1:C44"/>
  <sheetViews>
    <sheetView workbookViewId="0">
      <selection activeCell="B38" sqref="B38"/>
    </sheetView>
  </sheetViews>
  <sheetFormatPr defaultRowHeight="15" x14ac:dyDescent="0.25"/>
  <sheetData>
    <row r="1" spans="1:3" x14ac:dyDescent="0.25">
      <c r="A1" t="s">
        <v>49</v>
      </c>
    </row>
    <row r="2" spans="1:3" x14ac:dyDescent="0.25">
      <c r="A2">
        <f>_xlfn.AGGREGATE(9,5,A4:B70)</f>
        <v>64654</v>
      </c>
    </row>
    <row r="3" spans="1:3" x14ac:dyDescent="0.25">
      <c r="A3" t="s">
        <v>3</v>
      </c>
      <c r="B3" t="s">
        <v>4</v>
      </c>
      <c r="C3" t="s">
        <v>5</v>
      </c>
    </row>
    <row r="4" spans="1:3" x14ac:dyDescent="0.25">
      <c r="A4" t="s">
        <v>7</v>
      </c>
      <c r="B4" s="1">
        <v>40870</v>
      </c>
      <c r="C4" s="1">
        <v>116563</v>
      </c>
    </row>
    <row r="5" spans="1:3" x14ac:dyDescent="0.25">
      <c r="A5" t="s">
        <v>8</v>
      </c>
      <c r="B5" s="1">
        <v>39978</v>
      </c>
      <c r="C5" s="1">
        <v>116722</v>
      </c>
    </row>
    <row r="6" spans="1:3" x14ac:dyDescent="0.25">
      <c r="A6" t="s">
        <v>17</v>
      </c>
      <c r="B6" s="1">
        <v>7264</v>
      </c>
      <c r="C6" s="1">
        <v>116679</v>
      </c>
    </row>
    <row r="7" spans="1:3" hidden="1" x14ac:dyDescent="0.25">
      <c r="A7" t="s">
        <v>12</v>
      </c>
      <c r="B7">
        <v>6.2919999999999998</v>
      </c>
      <c r="C7">
        <v>116.67700000000001</v>
      </c>
    </row>
    <row r="8" spans="1:3" hidden="1" x14ac:dyDescent="0.25">
      <c r="A8" t="s">
        <v>36</v>
      </c>
      <c r="B8">
        <v>4.1840000000000002</v>
      </c>
      <c r="C8">
        <v>116.648</v>
      </c>
    </row>
    <row r="9" spans="1:3" hidden="1" x14ac:dyDescent="0.25">
      <c r="A9" t="s">
        <v>37</v>
      </c>
      <c r="B9">
        <v>3.8170000000000002</v>
      </c>
      <c r="C9">
        <v>116.67400000000001</v>
      </c>
    </row>
    <row r="10" spans="1:3" hidden="1" x14ac:dyDescent="0.25">
      <c r="A10" t="s">
        <v>10</v>
      </c>
      <c r="B10">
        <v>776</v>
      </c>
      <c r="C10">
        <v>116.63800000000001</v>
      </c>
    </row>
    <row r="11" spans="1:3" hidden="1" x14ac:dyDescent="0.25">
      <c r="A11" t="s">
        <v>29</v>
      </c>
      <c r="B11">
        <v>283</v>
      </c>
      <c r="C11">
        <v>116.703</v>
      </c>
    </row>
    <row r="12" spans="1:3" hidden="1" x14ac:dyDescent="0.25">
      <c r="A12" t="s">
        <v>13</v>
      </c>
      <c r="B12">
        <v>171</v>
      </c>
      <c r="C12">
        <v>116.60599999999999</v>
      </c>
    </row>
    <row r="13" spans="1:3" hidden="1" x14ac:dyDescent="0.25">
      <c r="A13" t="s">
        <v>26</v>
      </c>
      <c r="B13">
        <v>149</v>
      </c>
      <c r="C13">
        <v>116.77</v>
      </c>
    </row>
    <row r="14" spans="1:3" hidden="1" x14ac:dyDescent="0.25">
      <c r="A14" t="s">
        <v>19</v>
      </c>
      <c r="B14">
        <v>67</v>
      </c>
      <c r="C14">
        <v>116.71</v>
      </c>
    </row>
    <row r="15" spans="1:3" hidden="1" x14ac:dyDescent="0.25">
      <c r="A15" t="s">
        <v>31</v>
      </c>
      <c r="B15">
        <v>54</v>
      </c>
      <c r="C15">
        <v>116.64700000000001</v>
      </c>
    </row>
    <row r="16" spans="1:3" hidden="1" x14ac:dyDescent="0.25">
      <c r="A16" t="s">
        <v>25</v>
      </c>
      <c r="B16">
        <v>14</v>
      </c>
      <c r="C16">
        <v>116.751</v>
      </c>
    </row>
    <row r="17" spans="1:3" hidden="1" x14ac:dyDescent="0.25">
      <c r="A17" t="s">
        <v>22</v>
      </c>
      <c r="B17">
        <v>-4</v>
      </c>
      <c r="C17">
        <v>117.16200000000001</v>
      </c>
    </row>
    <row r="18" spans="1:3" hidden="1" x14ac:dyDescent="0.25">
      <c r="A18" t="s">
        <v>24</v>
      </c>
      <c r="B18">
        <v>-15</v>
      </c>
      <c r="C18">
        <v>116.48699999999999</v>
      </c>
    </row>
    <row r="19" spans="1:3" hidden="1" x14ac:dyDescent="0.25">
      <c r="A19" t="s">
        <v>32</v>
      </c>
      <c r="B19">
        <v>-22</v>
      </c>
      <c r="C19">
        <v>116.602</v>
      </c>
    </row>
    <row r="20" spans="1:3" hidden="1" x14ac:dyDescent="0.25">
      <c r="A20" t="s">
        <v>30</v>
      </c>
      <c r="B20">
        <v>-31</v>
      </c>
      <c r="C20">
        <v>116.78700000000001</v>
      </c>
    </row>
    <row r="21" spans="1:3" hidden="1" x14ac:dyDescent="0.25">
      <c r="A21" t="s">
        <v>45</v>
      </c>
      <c r="B21">
        <v>-156</v>
      </c>
      <c r="C21">
        <v>116.773</v>
      </c>
    </row>
    <row r="22" spans="1:3" hidden="1" x14ac:dyDescent="0.25">
      <c r="A22" t="s">
        <v>27</v>
      </c>
      <c r="B22">
        <v>-185</v>
      </c>
      <c r="C22">
        <v>116.758</v>
      </c>
    </row>
    <row r="23" spans="1:3" hidden="1" x14ac:dyDescent="0.25">
      <c r="A23" t="s">
        <v>38</v>
      </c>
      <c r="B23">
        <v>-245</v>
      </c>
      <c r="C23">
        <v>116.68899999999999</v>
      </c>
    </row>
    <row r="24" spans="1:3" hidden="1" x14ac:dyDescent="0.25">
      <c r="A24" t="s">
        <v>34</v>
      </c>
      <c r="B24">
        <v>-383</v>
      </c>
      <c r="C24">
        <v>116.675</v>
      </c>
    </row>
    <row r="25" spans="1:3" hidden="1" x14ac:dyDescent="0.25">
      <c r="A25" t="s">
        <v>21</v>
      </c>
      <c r="B25">
        <v>-555</v>
      </c>
      <c r="C25">
        <v>116.649</v>
      </c>
    </row>
    <row r="26" spans="1:3" hidden="1" x14ac:dyDescent="0.25">
      <c r="A26" t="s">
        <v>9</v>
      </c>
      <c r="B26">
        <v>-612</v>
      </c>
      <c r="C26">
        <v>116.68</v>
      </c>
    </row>
    <row r="27" spans="1:3" hidden="1" x14ac:dyDescent="0.25">
      <c r="A27" t="s">
        <v>15</v>
      </c>
      <c r="B27">
        <v>-778</v>
      </c>
      <c r="C27">
        <v>116.491</v>
      </c>
    </row>
    <row r="28" spans="1:3" hidden="1" x14ac:dyDescent="0.25">
      <c r="A28" t="s">
        <v>18</v>
      </c>
      <c r="B28">
        <v>-1.018</v>
      </c>
      <c r="C28">
        <v>116.694</v>
      </c>
    </row>
    <row r="29" spans="1:3" hidden="1" x14ac:dyDescent="0.25">
      <c r="A29" t="s">
        <v>23</v>
      </c>
      <c r="B29">
        <v>-1.0229999999999999</v>
      </c>
      <c r="C29">
        <v>116.794</v>
      </c>
    </row>
    <row r="30" spans="1:3" hidden="1" x14ac:dyDescent="0.25">
      <c r="A30" t="s">
        <v>20</v>
      </c>
      <c r="B30">
        <v>-1.823</v>
      </c>
      <c r="C30">
        <v>116.681</v>
      </c>
    </row>
    <row r="31" spans="1:3" hidden="1" x14ac:dyDescent="0.25">
      <c r="A31" t="s">
        <v>11</v>
      </c>
      <c r="B31">
        <v>-2.2360000000000002</v>
      </c>
      <c r="C31">
        <v>116.697</v>
      </c>
    </row>
    <row r="32" spans="1:3" hidden="1" x14ac:dyDescent="0.25">
      <c r="A32" t="s">
        <v>16</v>
      </c>
      <c r="B32">
        <v>-2.274</v>
      </c>
      <c r="C32">
        <v>116.703</v>
      </c>
    </row>
    <row r="33" spans="1:3" hidden="1" x14ac:dyDescent="0.25">
      <c r="A33" t="s">
        <v>43</v>
      </c>
      <c r="B33">
        <v>-2.6219999999999999</v>
      </c>
      <c r="C33">
        <v>116.729</v>
      </c>
    </row>
    <row r="34" spans="1:3" hidden="1" x14ac:dyDescent="0.25">
      <c r="A34" t="s">
        <v>46</v>
      </c>
      <c r="B34">
        <v>-3.105</v>
      </c>
      <c r="C34">
        <v>117.08799999999999</v>
      </c>
    </row>
    <row r="35" spans="1:3" hidden="1" x14ac:dyDescent="0.25">
      <c r="A35" t="s">
        <v>40</v>
      </c>
      <c r="B35">
        <v>-3.1779999999999999</v>
      </c>
      <c r="C35">
        <v>116.684</v>
      </c>
    </row>
    <row r="36" spans="1:3" x14ac:dyDescent="0.25">
      <c r="A36" t="s">
        <v>33</v>
      </c>
      <c r="B36" s="1">
        <v>-3866</v>
      </c>
      <c r="C36" s="1">
        <v>116402</v>
      </c>
    </row>
    <row r="37" spans="1:3" x14ac:dyDescent="0.25">
      <c r="A37" t="s">
        <v>44</v>
      </c>
      <c r="B37" s="1">
        <v>-4490</v>
      </c>
      <c r="C37" s="1">
        <v>116762</v>
      </c>
    </row>
    <row r="38" spans="1:3" x14ac:dyDescent="0.25">
      <c r="A38" t="s">
        <v>42</v>
      </c>
      <c r="B38" s="1">
        <v>-4968</v>
      </c>
      <c r="C38" s="1">
        <v>116841</v>
      </c>
    </row>
    <row r="39" spans="1:3" hidden="1" x14ac:dyDescent="0.25">
      <c r="A39" t="s">
        <v>35</v>
      </c>
      <c r="B39">
        <v>-5.077</v>
      </c>
      <c r="C39">
        <v>116.69799999999999</v>
      </c>
    </row>
    <row r="40" spans="1:3" hidden="1" x14ac:dyDescent="0.25">
      <c r="A40" t="s">
        <v>14</v>
      </c>
      <c r="B40">
        <v>-6.3860000000000001</v>
      </c>
      <c r="C40">
        <v>116.712</v>
      </c>
    </row>
    <row r="41" spans="1:3" hidden="1" x14ac:dyDescent="0.25">
      <c r="A41" t="s">
        <v>41</v>
      </c>
      <c r="B41">
        <v>-10</v>
      </c>
      <c r="C41">
        <v>116.699</v>
      </c>
    </row>
    <row r="42" spans="1:3" x14ac:dyDescent="0.25">
      <c r="A42" t="s">
        <v>28</v>
      </c>
      <c r="B42" s="1">
        <v>-10134</v>
      </c>
      <c r="C42" s="1">
        <v>116589</v>
      </c>
    </row>
    <row r="43" spans="1:3" hidden="1" x14ac:dyDescent="0.25">
      <c r="A43" t="s">
        <v>39</v>
      </c>
      <c r="B43">
        <v>-10.525</v>
      </c>
      <c r="C43">
        <v>116.762</v>
      </c>
    </row>
    <row r="44" spans="1:3" hidden="1" x14ac:dyDescent="0.25">
      <c r="A44" t="s">
        <v>6</v>
      </c>
      <c r="B44">
        <v>-28.207999999999998</v>
      </c>
      <c r="C44">
        <v>116.703</v>
      </c>
    </row>
  </sheetData>
  <autoFilter ref="A3:C44" xr:uid="{6833BB26-3C77-4F10-AF9C-34C6B7D64FEC}">
    <filterColumn colId="0">
      <filters>
        <filter val="Credit"/>
        <filter val="Goldman"/>
        <filter val="JP Morgan"/>
        <filter val="Merrill"/>
        <filter val="Morgan"/>
        <filter val="Tullett"/>
        <filter val="UBS"/>
      </filters>
    </filterColumn>
  </autoFilter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1C5A0-B130-4195-892C-154EE13E972C}">
  <sheetPr codeName="Planilha26" filterMode="1"/>
  <dimension ref="A1:C36"/>
  <sheetViews>
    <sheetView workbookViewId="0">
      <selection activeCell="B37" sqref="B37"/>
    </sheetView>
  </sheetViews>
  <sheetFormatPr defaultRowHeight="15" x14ac:dyDescent="0.25"/>
  <sheetData>
    <row r="1" spans="1:3" x14ac:dyDescent="0.25">
      <c r="A1" t="s">
        <v>49</v>
      </c>
    </row>
    <row r="2" spans="1:3" x14ac:dyDescent="0.25">
      <c r="A2">
        <f>_xlfn.AGGREGATE(9,5,A4:B70)</f>
        <v>-6195</v>
      </c>
    </row>
    <row r="3" spans="1:3" x14ac:dyDescent="0.25">
      <c r="A3" t="s">
        <v>3</v>
      </c>
      <c r="B3" t="s">
        <v>4</v>
      </c>
      <c r="C3" t="s">
        <v>5</v>
      </c>
    </row>
    <row r="4" spans="1:3" hidden="1" x14ac:dyDescent="0.25">
      <c r="A4" t="s">
        <v>41</v>
      </c>
      <c r="B4">
        <v>9.1999999999999993</v>
      </c>
      <c r="C4">
        <v>115.44</v>
      </c>
    </row>
    <row r="5" spans="1:3" hidden="1" x14ac:dyDescent="0.25">
      <c r="A5" t="s">
        <v>40</v>
      </c>
      <c r="B5">
        <v>3.39</v>
      </c>
      <c r="C5">
        <v>116.19499999999999</v>
      </c>
    </row>
    <row r="6" spans="1:3" hidden="1" x14ac:dyDescent="0.25">
      <c r="A6" t="s">
        <v>35</v>
      </c>
      <c r="B6">
        <v>1.5249999999999999</v>
      </c>
      <c r="C6">
        <v>116.678</v>
      </c>
    </row>
    <row r="7" spans="1:3" hidden="1" x14ac:dyDescent="0.25">
      <c r="A7" t="s">
        <v>20</v>
      </c>
      <c r="B7">
        <v>1.1200000000000001</v>
      </c>
      <c r="C7">
        <v>115.687</v>
      </c>
    </row>
    <row r="8" spans="1:3" hidden="1" x14ac:dyDescent="0.25">
      <c r="A8" t="s">
        <v>6</v>
      </c>
      <c r="B8">
        <v>370</v>
      </c>
      <c r="C8">
        <v>121.55800000000001</v>
      </c>
    </row>
    <row r="9" spans="1:3" hidden="1" x14ac:dyDescent="0.25">
      <c r="A9" t="s">
        <v>15</v>
      </c>
      <c r="B9">
        <v>280</v>
      </c>
      <c r="C9">
        <v>115.718</v>
      </c>
    </row>
    <row r="10" spans="1:3" hidden="1" x14ac:dyDescent="0.25">
      <c r="A10" t="s">
        <v>38</v>
      </c>
      <c r="B10">
        <v>210</v>
      </c>
      <c r="C10">
        <v>117.538</v>
      </c>
    </row>
    <row r="11" spans="1:3" x14ac:dyDescent="0.25">
      <c r="A11" t="s">
        <v>42</v>
      </c>
      <c r="B11">
        <v>85</v>
      </c>
      <c r="C11">
        <v>116.178</v>
      </c>
    </row>
    <row r="12" spans="1:3" hidden="1" x14ac:dyDescent="0.25">
      <c r="A12" t="s">
        <v>46</v>
      </c>
      <c r="B12">
        <v>85</v>
      </c>
      <c r="C12">
        <v>119.28100000000001</v>
      </c>
    </row>
    <row r="13" spans="1:3" hidden="1" x14ac:dyDescent="0.25">
      <c r="A13" t="s">
        <v>26</v>
      </c>
      <c r="B13">
        <v>70</v>
      </c>
      <c r="C13">
        <v>117.846</v>
      </c>
    </row>
    <row r="14" spans="1:3" x14ac:dyDescent="0.25">
      <c r="A14" t="s">
        <v>17</v>
      </c>
      <c r="B14">
        <v>65</v>
      </c>
      <c r="C14">
        <v>114.324</v>
      </c>
    </row>
    <row r="15" spans="1:3" hidden="1" x14ac:dyDescent="0.25">
      <c r="A15" t="s">
        <v>16</v>
      </c>
      <c r="B15">
        <v>45</v>
      </c>
      <c r="C15">
        <v>114.09699999999999</v>
      </c>
    </row>
    <row r="16" spans="1:3" hidden="1" x14ac:dyDescent="0.25">
      <c r="A16" t="s">
        <v>22</v>
      </c>
      <c r="B16">
        <v>20</v>
      </c>
      <c r="C16">
        <v>115.88500000000001</v>
      </c>
    </row>
    <row r="17" spans="1:3" hidden="1" x14ac:dyDescent="0.25">
      <c r="A17" t="s">
        <v>25</v>
      </c>
      <c r="B17">
        <v>10</v>
      </c>
      <c r="C17">
        <v>118.13800000000001</v>
      </c>
    </row>
    <row r="18" spans="1:3" hidden="1" x14ac:dyDescent="0.25">
      <c r="A18" t="s">
        <v>30</v>
      </c>
      <c r="B18">
        <v>10</v>
      </c>
      <c r="C18">
        <v>113.38</v>
      </c>
    </row>
    <row r="19" spans="1:3" hidden="1" x14ac:dyDescent="0.25">
      <c r="A19" t="s">
        <v>24</v>
      </c>
      <c r="B19">
        <v>5</v>
      </c>
      <c r="C19">
        <v>113.92</v>
      </c>
    </row>
    <row r="20" spans="1:3" hidden="1" x14ac:dyDescent="0.25">
      <c r="A20" t="s">
        <v>32</v>
      </c>
      <c r="B20">
        <v>-5</v>
      </c>
      <c r="C20">
        <v>139.655</v>
      </c>
    </row>
    <row r="21" spans="1:3" hidden="1" x14ac:dyDescent="0.25">
      <c r="A21" t="s">
        <v>31</v>
      </c>
      <c r="B21">
        <v>-5</v>
      </c>
      <c r="C21">
        <v>117.935</v>
      </c>
    </row>
    <row r="22" spans="1:3" x14ac:dyDescent="0.25">
      <c r="A22" t="s">
        <v>7</v>
      </c>
      <c r="B22">
        <v>-70</v>
      </c>
      <c r="C22">
        <v>117.788</v>
      </c>
    </row>
    <row r="23" spans="1:3" hidden="1" x14ac:dyDescent="0.25">
      <c r="A23" t="s">
        <v>19</v>
      </c>
      <c r="B23">
        <v>-155</v>
      </c>
      <c r="C23">
        <v>119.49</v>
      </c>
    </row>
    <row r="24" spans="1:3" hidden="1" x14ac:dyDescent="0.25">
      <c r="A24" t="s">
        <v>13</v>
      </c>
      <c r="B24">
        <v>-270</v>
      </c>
      <c r="C24">
        <v>118.839</v>
      </c>
    </row>
    <row r="25" spans="1:3" hidden="1" x14ac:dyDescent="0.25">
      <c r="A25" t="s">
        <v>14</v>
      </c>
      <c r="B25">
        <v>-295</v>
      </c>
      <c r="C25">
        <v>110.637</v>
      </c>
    </row>
    <row r="26" spans="1:3" hidden="1" x14ac:dyDescent="0.25">
      <c r="A26" t="s">
        <v>11</v>
      </c>
      <c r="B26">
        <v>-350</v>
      </c>
      <c r="C26">
        <v>114.82899999999999</v>
      </c>
    </row>
    <row r="27" spans="1:3" hidden="1" x14ac:dyDescent="0.25">
      <c r="A27" t="s">
        <v>12</v>
      </c>
      <c r="B27">
        <v>-375</v>
      </c>
      <c r="C27">
        <v>113.76</v>
      </c>
    </row>
    <row r="28" spans="1:3" x14ac:dyDescent="0.25">
      <c r="A28" t="s">
        <v>33</v>
      </c>
      <c r="B28">
        <v>-485</v>
      </c>
      <c r="C28">
        <v>121.324</v>
      </c>
    </row>
    <row r="29" spans="1:3" hidden="1" x14ac:dyDescent="0.25">
      <c r="A29" t="s">
        <v>36</v>
      </c>
      <c r="B29">
        <v>-610</v>
      </c>
      <c r="C29">
        <v>116.31100000000001</v>
      </c>
    </row>
    <row r="30" spans="1:3" hidden="1" x14ac:dyDescent="0.25">
      <c r="A30" t="s">
        <v>37</v>
      </c>
      <c r="B30">
        <v>-705</v>
      </c>
      <c r="C30">
        <v>116.205</v>
      </c>
    </row>
    <row r="31" spans="1:3" x14ac:dyDescent="0.25">
      <c r="A31" t="s">
        <v>44</v>
      </c>
      <c r="B31">
        <v>-730</v>
      </c>
      <c r="C31">
        <v>118.386</v>
      </c>
    </row>
    <row r="32" spans="1:3" hidden="1" x14ac:dyDescent="0.25">
      <c r="A32" t="s">
        <v>43</v>
      </c>
      <c r="B32">
        <v>-1.2050000000000001</v>
      </c>
      <c r="C32">
        <v>111.85299999999999</v>
      </c>
    </row>
    <row r="33" spans="1:3" x14ac:dyDescent="0.25">
      <c r="A33" t="s">
        <v>28</v>
      </c>
      <c r="B33" s="1">
        <v>-1690</v>
      </c>
      <c r="C33">
        <v>115.497</v>
      </c>
    </row>
    <row r="34" spans="1:3" hidden="1" x14ac:dyDescent="0.25">
      <c r="A34" t="s">
        <v>9</v>
      </c>
      <c r="B34">
        <v>-2.1</v>
      </c>
      <c r="C34">
        <v>114.895</v>
      </c>
    </row>
    <row r="35" spans="1:3" x14ac:dyDescent="0.25">
      <c r="A35" t="s">
        <v>8</v>
      </c>
      <c r="B35" s="1">
        <v>-3370</v>
      </c>
      <c r="C35">
        <v>117.113</v>
      </c>
    </row>
    <row r="36" spans="1:3" hidden="1" x14ac:dyDescent="0.25">
      <c r="A36" t="s">
        <v>39</v>
      </c>
      <c r="B36">
        <v>-4.07</v>
      </c>
      <c r="C36">
        <v>115.94</v>
      </c>
    </row>
  </sheetData>
  <autoFilter ref="A3:C36" xr:uid="{0351C5A0-B130-4195-892C-154EE13E972C}">
    <filterColumn colId="0">
      <filters>
        <filter val="Credit"/>
        <filter val="Goldman"/>
        <filter val="JP Morgan"/>
        <filter val="Merrill"/>
        <filter val="Morgan"/>
        <filter val="Tullett"/>
        <filter val="UBS"/>
      </filters>
    </filterColumn>
  </autoFilter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A868E0-EEF2-4F9C-9C28-50EFD882581D}">
  <sheetPr codeName="Planilha27" filterMode="1"/>
  <dimension ref="A1:C44"/>
  <sheetViews>
    <sheetView workbookViewId="0">
      <selection activeCell="G47" sqref="G47"/>
    </sheetView>
  </sheetViews>
  <sheetFormatPr defaultRowHeight="15" x14ac:dyDescent="0.25"/>
  <sheetData>
    <row r="1" spans="1:3" x14ac:dyDescent="0.25">
      <c r="A1" t="s">
        <v>49</v>
      </c>
    </row>
    <row r="2" spans="1:3" x14ac:dyDescent="0.25">
      <c r="A2">
        <f>_xlfn.AGGREGATE(9,5,A4:B70)</f>
        <v>43286</v>
      </c>
    </row>
    <row r="3" spans="1:3" x14ac:dyDescent="0.25">
      <c r="A3" t="s">
        <v>3</v>
      </c>
      <c r="B3" t="s">
        <v>4</v>
      </c>
      <c r="C3" t="s">
        <v>5</v>
      </c>
    </row>
    <row r="4" spans="1:3" hidden="1" x14ac:dyDescent="0.25">
      <c r="A4" t="s">
        <v>6</v>
      </c>
      <c r="B4">
        <v>25.204000000000001</v>
      </c>
      <c r="C4">
        <v>116.048</v>
      </c>
    </row>
    <row r="5" spans="1:3" x14ac:dyDescent="0.25">
      <c r="A5" t="s">
        <v>28</v>
      </c>
      <c r="B5" s="1">
        <v>21678</v>
      </c>
      <c r="C5">
        <v>116.059</v>
      </c>
    </row>
    <row r="6" spans="1:3" hidden="1" x14ac:dyDescent="0.25">
      <c r="A6" t="s">
        <v>9</v>
      </c>
      <c r="B6">
        <v>14.628</v>
      </c>
      <c r="C6">
        <v>116.13200000000001</v>
      </c>
    </row>
    <row r="7" spans="1:3" hidden="1" x14ac:dyDescent="0.25">
      <c r="A7" t="s">
        <v>37</v>
      </c>
      <c r="B7">
        <v>10.353</v>
      </c>
      <c r="C7">
        <v>116.121</v>
      </c>
    </row>
    <row r="8" spans="1:3" x14ac:dyDescent="0.25">
      <c r="A8" t="s">
        <v>44</v>
      </c>
      <c r="B8" s="1">
        <v>10280</v>
      </c>
      <c r="C8">
        <v>115.878</v>
      </c>
    </row>
    <row r="9" spans="1:3" x14ac:dyDescent="0.25">
      <c r="A9" t="s">
        <v>42</v>
      </c>
      <c r="B9" s="1">
        <v>9469</v>
      </c>
      <c r="C9">
        <v>115.902</v>
      </c>
    </row>
    <row r="10" spans="1:3" hidden="1" x14ac:dyDescent="0.25">
      <c r="A10" t="s">
        <v>10</v>
      </c>
      <c r="B10">
        <v>9.4350000000000005</v>
      </c>
      <c r="C10">
        <v>116.273</v>
      </c>
    </row>
    <row r="11" spans="1:3" x14ac:dyDescent="0.25">
      <c r="A11" t="s">
        <v>7</v>
      </c>
      <c r="B11" s="1">
        <v>6480</v>
      </c>
      <c r="C11">
        <v>116.08799999999999</v>
      </c>
    </row>
    <row r="12" spans="1:3" hidden="1" x14ac:dyDescent="0.25">
      <c r="A12" t="s">
        <v>11</v>
      </c>
      <c r="B12">
        <v>5.8540000000000001</v>
      </c>
      <c r="C12">
        <v>116.124</v>
      </c>
    </row>
    <row r="13" spans="1:3" hidden="1" x14ac:dyDescent="0.25">
      <c r="A13" t="s">
        <v>35</v>
      </c>
      <c r="B13">
        <v>4.3760000000000003</v>
      </c>
      <c r="C13">
        <v>116.06399999999999</v>
      </c>
    </row>
    <row r="14" spans="1:3" hidden="1" x14ac:dyDescent="0.25">
      <c r="A14" t="s">
        <v>16</v>
      </c>
      <c r="B14">
        <v>4.03</v>
      </c>
      <c r="C14">
        <v>116.084</v>
      </c>
    </row>
    <row r="15" spans="1:3" hidden="1" x14ac:dyDescent="0.25">
      <c r="A15" t="s">
        <v>34</v>
      </c>
      <c r="B15">
        <v>3.4769999999999999</v>
      </c>
      <c r="C15">
        <v>116.129</v>
      </c>
    </row>
    <row r="16" spans="1:3" hidden="1" x14ac:dyDescent="0.25">
      <c r="A16" t="s">
        <v>20</v>
      </c>
      <c r="B16">
        <v>3.3050000000000002</v>
      </c>
      <c r="C16">
        <v>116.23399999999999</v>
      </c>
    </row>
    <row r="17" spans="1:3" hidden="1" x14ac:dyDescent="0.25">
      <c r="A17" t="s">
        <v>13</v>
      </c>
      <c r="B17">
        <v>2.1890000000000001</v>
      </c>
      <c r="C17">
        <v>116.18899999999999</v>
      </c>
    </row>
    <row r="18" spans="1:3" hidden="1" x14ac:dyDescent="0.25">
      <c r="A18" t="s">
        <v>15</v>
      </c>
      <c r="B18">
        <v>2.181</v>
      </c>
      <c r="C18">
        <v>116.401</v>
      </c>
    </row>
    <row r="19" spans="1:3" hidden="1" x14ac:dyDescent="0.25">
      <c r="A19" t="s">
        <v>24</v>
      </c>
      <c r="B19">
        <v>2.0209999999999999</v>
      </c>
      <c r="C19">
        <v>115.815</v>
      </c>
    </row>
    <row r="20" spans="1:3" hidden="1" x14ac:dyDescent="0.25">
      <c r="A20" t="s">
        <v>18</v>
      </c>
      <c r="B20">
        <v>1.9350000000000001</v>
      </c>
      <c r="C20">
        <v>116.095</v>
      </c>
    </row>
    <row r="21" spans="1:3" hidden="1" x14ac:dyDescent="0.25">
      <c r="A21" t="s">
        <v>36</v>
      </c>
      <c r="B21">
        <v>959</v>
      </c>
      <c r="C21">
        <v>116.145</v>
      </c>
    </row>
    <row r="22" spans="1:3" hidden="1" x14ac:dyDescent="0.25">
      <c r="A22" t="s">
        <v>21</v>
      </c>
      <c r="B22">
        <v>718</v>
      </c>
      <c r="C22">
        <v>116.24299999999999</v>
      </c>
    </row>
    <row r="23" spans="1:3" x14ac:dyDescent="0.25">
      <c r="A23" t="s">
        <v>8</v>
      </c>
      <c r="B23">
        <v>552</v>
      </c>
      <c r="C23">
        <v>116.102</v>
      </c>
    </row>
    <row r="24" spans="1:3" hidden="1" x14ac:dyDescent="0.25">
      <c r="A24" t="s">
        <v>38</v>
      </c>
      <c r="B24">
        <v>421</v>
      </c>
      <c r="C24">
        <v>116.169</v>
      </c>
    </row>
    <row r="25" spans="1:3" hidden="1" x14ac:dyDescent="0.25">
      <c r="A25" t="s">
        <v>19</v>
      </c>
      <c r="B25">
        <v>309</v>
      </c>
      <c r="C25">
        <v>115.937</v>
      </c>
    </row>
    <row r="26" spans="1:3" hidden="1" x14ac:dyDescent="0.25">
      <c r="A26" t="s">
        <v>45</v>
      </c>
      <c r="B26">
        <v>200</v>
      </c>
      <c r="C26">
        <v>116.511</v>
      </c>
    </row>
    <row r="27" spans="1:3" hidden="1" x14ac:dyDescent="0.25">
      <c r="A27" t="s">
        <v>26</v>
      </c>
      <c r="B27">
        <v>110</v>
      </c>
      <c r="C27">
        <v>115.907</v>
      </c>
    </row>
    <row r="28" spans="1:3" hidden="1" x14ac:dyDescent="0.25">
      <c r="A28" t="s">
        <v>27</v>
      </c>
      <c r="B28">
        <v>54</v>
      </c>
      <c r="C28">
        <v>115.92700000000001</v>
      </c>
    </row>
    <row r="29" spans="1:3" hidden="1" x14ac:dyDescent="0.25">
      <c r="A29" t="s">
        <v>32</v>
      </c>
      <c r="B29">
        <v>51</v>
      </c>
      <c r="C29">
        <v>116.28100000000001</v>
      </c>
    </row>
    <row r="30" spans="1:3" hidden="1" x14ac:dyDescent="0.25">
      <c r="A30" t="s">
        <v>31</v>
      </c>
      <c r="B30">
        <v>34</v>
      </c>
      <c r="C30">
        <v>116.319</v>
      </c>
    </row>
    <row r="31" spans="1:3" hidden="1" x14ac:dyDescent="0.25">
      <c r="A31" t="s">
        <v>23</v>
      </c>
      <c r="B31">
        <v>24</v>
      </c>
      <c r="C31">
        <v>116.53</v>
      </c>
    </row>
    <row r="32" spans="1:3" hidden="1" x14ac:dyDescent="0.25">
      <c r="A32" t="s">
        <v>22</v>
      </c>
      <c r="B32">
        <v>10</v>
      </c>
      <c r="C32">
        <v>116.47199999999999</v>
      </c>
    </row>
    <row r="33" spans="1:3" hidden="1" x14ac:dyDescent="0.25">
      <c r="A33" t="s">
        <v>25</v>
      </c>
      <c r="B33">
        <v>-21</v>
      </c>
      <c r="C33">
        <v>116.01300000000001</v>
      </c>
    </row>
    <row r="34" spans="1:3" hidden="1" x14ac:dyDescent="0.25">
      <c r="A34" t="s">
        <v>30</v>
      </c>
      <c r="B34">
        <v>-36</v>
      </c>
      <c r="C34">
        <v>115.979</v>
      </c>
    </row>
    <row r="35" spans="1:3" hidden="1" x14ac:dyDescent="0.25">
      <c r="A35" t="s">
        <v>14</v>
      </c>
      <c r="B35">
        <v>-374</v>
      </c>
      <c r="C35">
        <v>116.178</v>
      </c>
    </row>
    <row r="36" spans="1:3" hidden="1" x14ac:dyDescent="0.25">
      <c r="A36" t="s">
        <v>12</v>
      </c>
      <c r="B36">
        <v>-544</v>
      </c>
      <c r="C36">
        <v>116.09699999999999</v>
      </c>
    </row>
    <row r="37" spans="1:3" hidden="1" x14ac:dyDescent="0.25">
      <c r="A37" t="s">
        <v>29</v>
      </c>
      <c r="B37">
        <v>-1.06</v>
      </c>
      <c r="C37">
        <v>116.197</v>
      </c>
    </row>
    <row r="38" spans="1:3" hidden="1" x14ac:dyDescent="0.25">
      <c r="A38" t="s">
        <v>46</v>
      </c>
      <c r="B38">
        <v>-1.4750000000000001</v>
      </c>
      <c r="C38">
        <v>115.26600000000001</v>
      </c>
    </row>
    <row r="39" spans="1:3" x14ac:dyDescent="0.25">
      <c r="A39" t="s">
        <v>33</v>
      </c>
      <c r="B39" s="1">
        <v>-2177</v>
      </c>
      <c r="C39">
        <v>116.126</v>
      </c>
    </row>
    <row r="40" spans="1:3" x14ac:dyDescent="0.25">
      <c r="A40" t="s">
        <v>17</v>
      </c>
      <c r="B40" s="1">
        <v>-2996</v>
      </c>
      <c r="C40">
        <v>115.952</v>
      </c>
    </row>
    <row r="41" spans="1:3" hidden="1" x14ac:dyDescent="0.25">
      <c r="A41" t="s">
        <v>43</v>
      </c>
      <c r="B41">
        <v>-12.698</v>
      </c>
      <c r="C41">
        <v>115.94799999999999</v>
      </c>
    </row>
    <row r="42" spans="1:3" hidden="1" x14ac:dyDescent="0.25">
      <c r="A42" t="s">
        <v>40</v>
      </c>
      <c r="B42">
        <v>-20.97</v>
      </c>
      <c r="C42">
        <v>116.078</v>
      </c>
    </row>
    <row r="43" spans="1:3" hidden="1" x14ac:dyDescent="0.25">
      <c r="A43" t="s">
        <v>39</v>
      </c>
      <c r="B43">
        <v>-28.187000000000001</v>
      </c>
      <c r="C43">
        <v>115.96599999999999</v>
      </c>
    </row>
    <row r="44" spans="1:3" hidden="1" x14ac:dyDescent="0.25">
      <c r="A44" t="s">
        <v>41</v>
      </c>
      <c r="B44">
        <v>-69.799000000000007</v>
      </c>
      <c r="C44">
        <v>116.148</v>
      </c>
    </row>
  </sheetData>
  <autoFilter ref="A3:C44" xr:uid="{E9A868E0-EEF2-4F9C-9C28-50EFD882581D}">
    <filterColumn colId="0">
      <filters>
        <filter val="Credit"/>
        <filter val="Goldman"/>
        <filter val="JP Morgan"/>
        <filter val="Merrill"/>
        <filter val="Morgan"/>
        <filter val="Tullett"/>
        <filter val="UBS"/>
      </filters>
    </filterColumn>
  </autoFilter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63E45-D621-469D-8544-6FCF6834F150}">
  <sheetPr codeName="Planilha28" filterMode="1"/>
  <dimension ref="A1:C38"/>
  <sheetViews>
    <sheetView workbookViewId="0">
      <selection activeCell="B39" sqref="B39"/>
    </sheetView>
  </sheetViews>
  <sheetFormatPr defaultRowHeight="15" x14ac:dyDescent="0.25"/>
  <sheetData>
    <row r="1" spans="1:3" x14ac:dyDescent="0.25">
      <c r="A1" t="s">
        <v>49</v>
      </c>
    </row>
    <row r="2" spans="1:3" x14ac:dyDescent="0.25">
      <c r="A2">
        <f>_xlfn.AGGREGATE(9,5,A4:B70)</f>
        <v>-4340</v>
      </c>
    </row>
    <row r="3" spans="1:3" x14ac:dyDescent="0.25">
      <c r="A3" t="s">
        <v>3</v>
      </c>
      <c r="B3" t="s">
        <v>4</v>
      </c>
      <c r="C3" t="s">
        <v>5</v>
      </c>
    </row>
    <row r="4" spans="1:3" hidden="1" x14ac:dyDescent="0.25">
      <c r="A4" t="s">
        <v>14</v>
      </c>
      <c r="B4">
        <v>4.1449999999999996</v>
      </c>
      <c r="C4">
        <v>114.789</v>
      </c>
    </row>
    <row r="5" spans="1:3" hidden="1" x14ac:dyDescent="0.25">
      <c r="A5" t="s">
        <v>41</v>
      </c>
      <c r="B5">
        <v>3.7749999999999999</v>
      </c>
      <c r="C5">
        <v>109.26600000000001</v>
      </c>
    </row>
    <row r="6" spans="1:3" hidden="1" x14ac:dyDescent="0.25">
      <c r="A6" t="s">
        <v>40</v>
      </c>
      <c r="B6">
        <v>2.4900000000000002</v>
      </c>
      <c r="C6">
        <v>116.87</v>
      </c>
    </row>
    <row r="7" spans="1:3" hidden="1" x14ac:dyDescent="0.25">
      <c r="A7" t="s">
        <v>35</v>
      </c>
      <c r="B7">
        <v>2.42</v>
      </c>
      <c r="C7">
        <v>115.343</v>
      </c>
    </row>
    <row r="8" spans="1:3" hidden="1" x14ac:dyDescent="0.25">
      <c r="A8" t="s">
        <v>37</v>
      </c>
      <c r="B8">
        <v>1.2849999999999999</v>
      </c>
      <c r="C8">
        <v>116.428</v>
      </c>
    </row>
    <row r="9" spans="1:3" x14ac:dyDescent="0.25">
      <c r="A9" t="s">
        <v>8</v>
      </c>
      <c r="B9">
        <v>980</v>
      </c>
      <c r="C9">
        <v>112.941</v>
      </c>
    </row>
    <row r="10" spans="1:3" x14ac:dyDescent="0.25">
      <c r="A10" t="s">
        <v>42</v>
      </c>
      <c r="B10">
        <v>340</v>
      </c>
      <c r="C10">
        <v>116.217</v>
      </c>
    </row>
    <row r="11" spans="1:3" x14ac:dyDescent="0.25">
      <c r="A11" t="s">
        <v>44</v>
      </c>
      <c r="B11">
        <v>295</v>
      </c>
      <c r="C11">
        <v>112.682</v>
      </c>
    </row>
    <row r="12" spans="1:3" hidden="1" x14ac:dyDescent="0.25">
      <c r="A12" t="s">
        <v>36</v>
      </c>
      <c r="B12">
        <v>285</v>
      </c>
      <c r="C12">
        <v>113.1</v>
      </c>
    </row>
    <row r="13" spans="1:3" hidden="1" x14ac:dyDescent="0.25">
      <c r="A13" t="s">
        <v>9</v>
      </c>
      <c r="B13">
        <v>200</v>
      </c>
      <c r="C13">
        <v>112.636</v>
      </c>
    </row>
    <row r="14" spans="1:3" hidden="1" x14ac:dyDescent="0.25">
      <c r="A14" t="s">
        <v>31</v>
      </c>
      <c r="B14">
        <v>110</v>
      </c>
      <c r="C14">
        <v>117.9</v>
      </c>
    </row>
    <row r="15" spans="1:3" hidden="1" x14ac:dyDescent="0.25">
      <c r="A15" t="s">
        <v>11</v>
      </c>
      <c r="B15">
        <v>80</v>
      </c>
      <c r="C15">
        <v>113.73099999999999</v>
      </c>
    </row>
    <row r="16" spans="1:3" x14ac:dyDescent="0.25">
      <c r="A16" t="s">
        <v>33</v>
      </c>
      <c r="B16">
        <v>55</v>
      </c>
      <c r="C16">
        <v>131.76400000000001</v>
      </c>
    </row>
    <row r="17" spans="1:3" hidden="1" x14ac:dyDescent="0.25">
      <c r="A17" t="s">
        <v>29</v>
      </c>
      <c r="B17">
        <v>45</v>
      </c>
      <c r="C17">
        <v>117.31399999999999</v>
      </c>
    </row>
    <row r="18" spans="1:3" hidden="1" x14ac:dyDescent="0.25">
      <c r="A18" t="s">
        <v>21</v>
      </c>
      <c r="B18">
        <v>25</v>
      </c>
      <c r="C18">
        <v>114.315</v>
      </c>
    </row>
    <row r="19" spans="1:3" hidden="1" x14ac:dyDescent="0.25">
      <c r="A19" t="s">
        <v>26</v>
      </c>
      <c r="B19">
        <v>10</v>
      </c>
      <c r="C19">
        <v>107.515</v>
      </c>
    </row>
    <row r="20" spans="1:3" hidden="1" x14ac:dyDescent="0.25">
      <c r="A20" t="s">
        <v>34</v>
      </c>
      <c r="B20">
        <v>-5</v>
      </c>
      <c r="C20">
        <v>115.795</v>
      </c>
    </row>
    <row r="21" spans="1:3" hidden="1" x14ac:dyDescent="0.25">
      <c r="A21" t="s">
        <v>30</v>
      </c>
      <c r="B21">
        <v>-5</v>
      </c>
      <c r="C21">
        <v>116.4</v>
      </c>
    </row>
    <row r="22" spans="1:3" hidden="1" x14ac:dyDescent="0.25">
      <c r="A22" t="s">
        <v>24</v>
      </c>
      <c r="B22">
        <v>-15</v>
      </c>
      <c r="C22">
        <v>115.7</v>
      </c>
    </row>
    <row r="23" spans="1:3" hidden="1" x14ac:dyDescent="0.25">
      <c r="A23" t="s">
        <v>22</v>
      </c>
      <c r="B23">
        <v>-20</v>
      </c>
      <c r="C23">
        <v>115.2</v>
      </c>
    </row>
    <row r="24" spans="1:3" hidden="1" x14ac:dyDescent="0.25">
      <c r="A24" t="s">
        <v>16</v>
      </c>
      <c r="B24">
        <v>-20</v>
      </c>
      <c r="C24">
        <v>104.654</v>
      </c>
    </row>
    <row r="25" spans="1:3" hidden="1" x14ac:dyDescent="0.25">
      <c r="A25" t="s">
        <v>6</v>
      </c>
      <c r="B25">
        <v>-110</v>
      </c>
      <c r="C25">
        <v>89.716999999999999</v>
      </c>
    </row>
    <row r="26" spans="1:3" hidden="1" x14ac:dyDescent="0.25">
      <c r="A26" t="s">
        <v>46</v>
      </c>
      <c r="B26">
        <v>-160</v>
      </c>
      <c r="C26">
        <v>115.1</v>
      </c>
    </row>
    <row r="27" spans="1:3" hidden="1" x14ac:dyDescent="0.25">
      <c r="A27" t="s">
        <v>13</v>
      </c>
      <c r="B27">
        <v>-205</v>
      </c>
      <c r="C27">
        <v>109.15900000000001</v>
      </c>
    </row>
    <row r="28" spans="1:3" hidden="1" x14ac:dyDescent="0.25">
      <c r="A28" t="s">
        <v>12</v>
      </c>
      <c r="B28">
        <v>-225</v>
      </c>
      <c r="C28">
        <v>114.24299999999999</v>
      </c>
    </row>
    <row r="29" spans="1:3" hidden="1" x14ac:dyDescent="0.25">
      <c r="A29" t="s">
        <v>45</v>
      </c>
      <c r="B29">
        <v>-300</v>
      </c>
      <c r="C29">
        <v>117</v>
      </c>
    </row>
    <row r="30" spans="1:3" hidden="1" x14ac:dyDescent="0.25">
      <c r="A30" t="s">
        <v>32</v>
      </c>
      <c r="B30">
        <v>-340</v>
      </c>
      <c r="C30">
        <v>113.78400000000001</v>
      </c>
    </row>
    <row r="31" spans="1:3" x14ac:dyDescent="0.25">
      <c r="A31" t="s">
        <v>7</v>
      </c>
      <c r="B31">
        <v>-645</v>
      </c>
      <c r="C31">
        <v>116.306</v>
      </c>
    </row>
    <row r="32" spans="1:3" hidden="1" x14ac:dyDescent="0.25">
      <c r="A32" t="s">
        <v>38</v>
      </c>
      <c r="B32">
        <v>-970</v>
      </c>
      <c r="C32">
        <v>115.393</v>
      </c>
    </row>
    <row r="33" spans="1:3" hidden="1" x14ac:dyDescent="0.25">
      <c r="A33" t="s">
        <v>43</v>
      </c>
      <c r="B33">
        <v>-1.155</v>
      </c>
      <c r="C33">
        <v>113.84</v>
      </c>
    </row>
    <row r="34" spans="1:3" hidden="1" x14ac:dyDescent="0.25">
      <c r="A34" t="s">
        <v>15</v>
      </c>
      <c r="B34">
        <v>-1.28</v>
      </c>
      <c r="C34">
        <v>114.27</v>
      </c>
    </row>
    <row r="35" spans="1:3" x14ac:dyDescent="0.25">
      <c r="A35" t="s">
        <v>17</v>
      </c>
      <c r="B35">
        <v>-1365</v>
      </c>
      <c r="C35">
        <v>113.747</v>
      </c>
    </row>
    <row r="36" spans="1:3" hidden="1" x14ac:dyDescent="0.25">
      <c r="A36" t="s">
        <v>39</v>
      </c>
      <c r="B36">
        <v>-2.4750000000000001</v>
      </c>
      <c r="C36">
        <v>112.58499999999999</v>
      </c>
    </row>
    <row r="37" spans="1:3" hidden="1" x14ac:dyDescent="0.25">
      <c r="A37" t="s">
        <v>20</v>
      </c>
      <c r="B37">
        <v>-3.2450000000000001</v>
      </c>
      <c r="C37">
        <v>115.648</v>
      </c>
    </row>
    <row r="38" spans="1:3" x14ac:dyDescent="0.25">
      <c r="A38" t="s">
        <v>28</v>
      </c>
      <c r="B38">
        <v>-4000</v>
      </c>
      <c r="C38">
        <v>113.354</v>
      </c>
    </row>
  </sheetData>
  <autoFilter ref="A3:C38" xr:uid="{8B563E45-D621-469D-8544-6FCF6834F150}">
    <filterColumn colId="0">
      <filters>
        <filter val="Credit"/>
        <filter val="Goldman"/>
        <filter val="JP Morgan"/>
        <filter val="Merrill"/>
        <filter val="Morgan"/>
        <filter val="Tullett"/>
        <filter val="UBS"/>
      </filters>
    </filterColumn>
  </autoFilter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64A89-4A82-4686-8512-D93D669DADE2}">
  <sheetPr codeName="Planilha29" filterMode="1"/>
  <dimension ref="A1:C44"/>
  <sheetViews>
    <sheetView workbookViewId="0">
      <selection activeCell="B45" sqref="B45"/>
    </sheetView>
  </sheetViews>
  <sheetFormatPr defaultRowHeight="15" x14ac:dyDescent="0.25"/>
  <sheetData>
    <row r="1" spans="1:3" x14ac:dyDescent="0.25">
      <c r="A1" t="s">
        <v>49</v>
      </c>
    </row>
    <row r="2" spans="1:3" x14ac:dyDescent="0.25">
      <c r="A2">
        <f>_xlfn.AGGREGATE(9,5,A4:B70)</f>
        <v>10508</v>
      </c>
    </row>
    <row r="3" spans="1:3" x14ac:dyDescent="0.25">
      <c r="A3" t="s">
        <v>3</v>
      </c>
      <c r="B3" t="s">
        <v>4</v>
      </c>
      <c r="C3" t="s">
        <v>5</v>
      </c>
    </row>
    <row r="4" spans="1:3" hidden="1" x14ac:dyDescent="0.25">
      <c r="A4" t="s">
        <v>39</v>
      </c>
      <c r="B4">
        <v>46.139000000000003</v>
      </c>
      <c r="C4">
        <v>114.524</v>
      </c>
    </row>
    <row r="5" spans="1:3" x14ac:dyDescent="0.25">
      <c r="A5" t="s">
        <v>42</v>
      </c>
      <c r="B5">
        <v>21057</v>
      </c>
      <c r="C5">
        <v>114.55</v>
      </c>
    </row>
    <row r="6" spans="1:3" x14ac:dyDescent="0.25">
      <c r="A6" t="s">
        <v>7</v>
      </c>
      <c r="B6">
        <v>19638</v>
      </c>
      <c r="C6">
        <v>114.593</v>
      </c>
    </row>
    <row r="7" spans="1:3" hidden="1" x14ac:dyDescent="0.25">
      <c r="A7" t="s">
        <v>10</v>
      </c>
      <c r="B7">
        <v>9.2420000000000009</v>
      </c>
      <c r="C7">
        <v>114.01600000000001</v>
      </c>
    </row>
    <row r="8" spans="1:3" hidden="1" x14ac:dyDescent="0.25">
      <c r="A8" t="s">
        <v>43</v>
      </c>
      <c r="B8">
        <v>5.7329999999999997</v>
      </c>
      <c r="C8">
        <v>114.376</v>
      </c>
    </row>
    <row r="9" spans="1:3" hidden="1" x14ac:dyDescent="0.25">
      <c r="A9" t="s">
        <v>46</v>
      </c>
      <c r="B9">
        <v>5.43</v>
      </c>
      <c r="C9">
        <v>115.90900000000001</v>
      </c>
    </row>
    <row r="10" spans="1:3" hidden="1" x14ac:dyDescent="0.25">
      <c r="A10" t="s">
        <v>23</v>
      </c>
      <c r="B10">
        <v>5.0069999999999997</v>
      </c>
      <c r="C10">
        <v>114.093</v>
      </c>
    </row>
    <row r="11" spans="1:3" hidden="1" x14ac:dyDescent="0.25">
      <c r="A11" t="s">
        <v>9</v>
      </c>
      <c r="B11">
        <v>3.976</v>
      </c>
      <c r="C11">
        <v>113.998</v>
      </c>
    </row>
    <row r="12" spans="1:3" hidden="1" x14ac:dyDescent="0.25">
      <c r="A12" t="s">
        <v>29</v>
      </c>
      <c r="B12">
        <v>3.3969999999999998</v>
      </c>
      <c r="C12">
        <v>114.078</v>
      </c>
    </row>
    <row r="13" spans="1:3" hidden="1" x14ac:dyDescent="0.25">
      <c r="A13" t="s">
        <v>13</v>
      </c>
      <c r="B13">
        <v>3.32</v>
      </c>
      <c r="C13">
        <v>114.327</v>
      </c>
    </row>
    <row r="14" spans="1:3" x14ac:dyDescent="0.25">
      <c r="A14" t="s">
        <v>17</v>
      </c>
      <c r="B14">
        <v>2583</v>
      </c>
      <c r="C14">
        <v>114.15900000000001</v>
      </c>
    </row>
    <row r="15" spans="1:3" x14ac:dyDescent="0.25">
      <c r="A15" t="s">
        <v>33</v>
      </c>
      <c r="B15">
        <v>2515</v>
      </c>
      <c r="C15">
        <v>114.431</v>
      </c>
    </row>
    <row r="16" spans="1:3" hidden="1" x14ac:dyDescent="0.25">
      <c r="A16" t="s">
        <v>34</v>
      </c>
      <c r="B16">
        <v>1.476</v>
      </c>
      <c r="C16">
        <v>114.00700000000001</v>
      </c>
    </row>
    <row r="17" spans="1:3" hidden="1" x14ac:dyDescent="0.25">
      <c r="A17" t="s">
        <v>20</v>
      </c>
      <c r="B17">
        <v>1.093</v>
      </c>
      <c r="C17">
        <v>114.223</v>
      </c>
    </row>
    <row r="18" spans="1:3" hidden="1" x14ac:dyDescent="0.25">
      <c r="A18" t="s">
        <v>15</v>
      </c>
      <c r="B18">
        <v>975</v>
      </c>
      <c r="C18">
        <v>114.328</v>
      </c>
    </row>
    <row r="19" spans="1:3" hidden="1" x14ac:dyDescent="0.25">
      <c r="A19" t="s">
        <v>35</v>
      </c>
      <c r="B19">
        <v>537</v>
      </c>
      <c r="C19">
        <v>114.042</v>
      </c>
    </row>
    <row r="20" spans="1:3" hidden="1" x14ac:dyDescent="0.25">
      <c r="A20" t="s">
        <v>26</v>
      </c>
      <c r="B20">
        <v>163</v>
      </c>
      <c r="C20">
        <v>114.373</v>
      </c>
    </row>
    <row r="21" spans="1:3" hidden="1" x14ac:dyDescent="0.25">
      <c r="A21" t="s">
        <v>27</v>
      </c>
      <c r="B21">
        <v>106</v>
      </c>
      <c r="C21">
        <v>114.024</v>
      </c>
    </row>
    <row r="22" spans="1:3" hidden="1" x14ac:dyDescent="0.25">
      <c r="A22" t="s">
        <v>30</v>
      </c>
      <c r="B22">
        <v>-28</v>
      </c>
      <c r="C22">
        <v>114.324</v>
      </c>
    </row>
    <row r="23" spans="1:3" hidden="1" x14ac:dyDescent="0.25">
      <c r="A23" t="s">
        <v>22</v>
      </c>
      <c r="B23">
        <v>-65</v>
      </c>
      <c r="C23">
        <v>114.75700000000001</v>
      </c>
    </row>
    <row r="24" spans="1:3" hidden="1" x14ac:dyDescent="0.25">
      <c r="A24" t="s">
        <v>19</v>
      </c>
      <c r="B24">
        <v>-155</v>
      </c>
      <c r="C24">
        <v>114.229</v>
      </c>
    </row>
    <row r="25" spans="1:3" hidden="1" x14ac:dyDescent="0.25">
      <c r="A25" t="s">
        <v>36</v>
      </c>
      <c r="B25">
        <v>-223</v>
      </c>
      <c r="C25">
        <v>114.161</v>
      </c>
    </row>
    <row r="26" spans="1:3" hidden="1" x14ac:dyDescent="0.25">
      <c r="A26" t="s">
        <v>32</v>
      </c>
      <c r="B26">
        <v>-243</v>
      </c>
      <c r="C26">
        <v>114.542</v>
      </c>
    </row>
    <row r="27" spans="1:3" hidden="1" x14ac:dyDescent="0.25">
      <c r="A27" t="s">
        <v>45</v>
      </c>
      <c r="B27">
        <v>-322</v>
      </c>
      <c r="C27">
        <v>114.48399999999999</v>
      </c>
    </row>
    <row r="28" spans="1:3" hidden="1" x14ac:dyDescent="0.25">
      <c r="A28" t="s">
        <v>31</v>
      </c>
      <c r="B28">
        <v>-646</v>
      </c>
      <c r="C28">
        <v>114.15900000000001</v>
      </c>
    </row>
    <row r="29" spans="1:3" hidden="1" x14ac:dyDescent="0.25">
      <c r="A29" t="s">
        <v>21</v>
      </c>
      <c r="B29">
        <v>-692</v>
      </c>
      <c r="C29">
        <v>114.19</v>
      </c>
    </row>
    <row r="30" spans="1:3" hidden="1" x14ac:dyDescent="0.25">
      <c r="A30" t="s">
        <v>11</v>
      </c>
      <c r="B30">
        <v>-726</v>
      </c>
      <c r="C30">
        <v>114.27200000000001</v>
      </c>
    </row>
    <row r="31" spans="1:3" hidden="1" x14ac:dyDescent="0.25">
      <c r="A31" t="s">
        <v>38</v>
      </c>
      <c r="B31">
        <v>-1.1180000000000001</v>
      </c>
      <c r="C31">
        <v>114.07</v>
      </c>
    </row>
    <row r="32" spans="1:3" hidden="1" x14ac:dyDescent="0.25">
      <c r="A32" t="s">
        <v>12</v>
      </c>
      <c r="B32">
        <v>-1.1339999999999999</v>
      </c>
      <c r="C32">
        <v>114.68</v>
      </c>
    </row>
    <row r="33" spans="1:3" hidden="1" x14ac:dyDescent="0.25">
      <c r="A33" t="s">
        <v>24</v>
      </c>
      <c r="B33">
        <v>-3.0819999999999999</v>
      </c>
      <c r="C33">
        <v>113.396</v>
      </c>
    </row>
    <row r="34" spans="1:3" hidden="1" x14ac:dyDescent="0.25">
      <c r="A34" t="s">
        <v>18</v>
      </c>
      <c r="B34">
        <v>-3.3860000000000001</v>
      </c>
      <c r="C34">
        <v>114.07899999999999</v>
      </c>
    </row>
    <row r="35" spans="1:3" hidden="1" x14ac:dyDescent="0.25">
      <c r="A35" t="s">
        <v>37</v>
      </c>
      <c r="B35">
        <v>-4.5449999999999999</v>
      </c>
      <c r="C35">
        <v>114.03100000000001</v>
      </c>
    </row>
    <row r="36" spans="1:3" hidden="1" x14ac:dyDescent="0.25">
      <c r="A36" t="s">
        <v>14</v>
      </c>
      <c r="B36">
        <v>-7.0709999999999997</v>
      </c>
      <c r="C36">
        <v>114.434</v>
      </c>
    </row>
    <row r="37" spans="1:3" hidden="1" x14ac:dyDescent="0.25">
      <c r="A37" t="s">
        <v>16</v>
      </c>
      <c r="B37">
        <v>-7.4960000000000004</v>
      </c>
      <c r="C37">
        <v>114.06399999999999</v>
      </c>
    </row>
    <row r="38" spans="1:3" hidden="1" x14ac:dyDescent="0.25">
      <c r="A38" t="s">
        <v>41</v>
      </c>
      <c r="B38">
        <v>-7.77</v>
      </c>
      <c r="C38">
        <v>113.959</v>
      </c>
    </row>
    <row r="39" spans="1:3" x14ac:dyDescent="0.25">
      <c r="A39" t="s">
        <v>8</v>
      </c>
      <c r="B39">
        <v>-11082</v>
      </c>
      <c r="C39">
        <v>114.318</v>
      </c>
    </row>
    <row r="40" spans="1:3" x14ac:dyDescent="0.25">
      <c r="A40" t="s">
        <v>28</v>
      </c>
      <c r="B40">
        <v>-11709</v>
      </c>
      <c r="C40">
        <v>114.298</v>
      </c>
    </row>
    <row r="41" spans="1:3" hidden="1" x14ac:dyDescent="0.25">
      <c r="A41" t="s">
        <v>25</v>
      </c>
      <c r="B41">
        <v>-11.85</v>
      </c>
      <c r="C41">
        <v>113.621</v>
      </c>
    </row>
    <row r="42" spans="1:3" x14ac:dyDescent="0.25">
      <c r="A42" t="s">
        <v>44</v>
      </c>
      <c r="B42">
        <v>-12494</v>
      </c>
      <c r="C42">
        <v>114.867</v>
      </c>
    </row>
    <row r="43" spans="1:3" hidden="1" x14ac:dyDescent="0.25">
      <c r="A43" t="s">
        <v>40</v>
      </c>
      <c r="B43">
        <v>-20.253</v>
      </c>
      <c r="C43">
        <v>114.158</v>
      </c>
    </row>
    <row r="44" spans="1:3" hidden="1" x14ac:dyDescent="0.25">
      <c r="A44" t="s">
        <v>6</v>
      </c>
      <c r="B44">
        <v>-26.297000000000001</v>
      </c>
      <c r="C44">
        <v>114.178</v>
      </c>
    </row>
  </sheetData>
  <autoFilter ref="A3:C44" xr:uid="{DFD64A89-4A82-4686-8512-D93D669DADE2}">
    <filterColumn colId="0">
      <filters>
        <filter val="Credit"/>
        <filter val="Goldman"/>
        <filter val="JP Morgan"/>
        <filter val="Merrill"/>
        <filter val="Morgan"/>
        <filter val="Tullett"/>
        <filter val="UBS"/>
      </filters>
    </filterColumn>
  </autoFilter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F9EAB-CCE7-4E95-8F28-E59A2F02DA3C}">
  <sheetPr codeName="Planilha30" filterMode="1"/>
  <dimension ref="A1:C37"/>
  <sheetViews>
    <sheetView workbookViewId="0">
      <selection activeCell="B38" sqref="B38"/>
    </sheetView>
  </sheetViews>
  <sheetFormatPr defaultRowHeight="15" x14ac:dyDescent="0.25"/>
  <sheetData>
    <row r="1" spans="1:3" x14ac:dyDescent="0.25">
      <c r="A1" t="s">
        <v>49</v>
      </c>
    </row>
    <row r="2" spans="1:3" x14ac:dyDescent="0.25">
      <c r="A2">
        <f>_xlfn.AGGREGATE(9,5,A4:B70)</f>
        <v>2175</v>
      </c>
    </row>
    <row r="3" spans="1:3" x14ac:dyDescent="0.25">
      <c r="A3" t="s">
        <v>3</v>
      </c>
      <c r="B3" t="s">
        <v>4</v>
      </c>
      <c r="C3" t="s">
        <v>5</v>
      </c>
    </row>
    <row r="4" spans="1:3" hidden="1" x14ac:dyDescent="0.25">
      <c r="A4" t="s">
        <v>14</v>
      </c>
      <c r="B4">
        <v>-1.0149999999999999</v>
      </c>
      <c r="C4">
        <v>114.78100000000001</v>
      </c>
    </row>
    <row r="5" spans="1:3" hidden="1" x14ac:dyDescent="0.25">
      <c r="A5" t="s">
        <v>43</v>
      </c>
      <c r="B5">
        <v>1.9950000000000001</v>
      </c>
      <c r="C5">
        <v>115.631</v>
      </c>
    </row>
    <row r="6" spans="1:3" hidden="1" x14ac:dyDescent="0.25">
      <c r="A6" t="s">
        <v>35</v>
      </c>
      <c r="B6">
        <v>2.08</v>
      </c>
      <c r="C6">
        <v>115.782</v>
      </c>
    </row>
    <row r="7" spans="1:3" hidden="1" x14ac:dyDescent="0.25">
      <c r="A7" t="s">
        <v>41</v>
      </c>
      <c r="B7">
        <v>-1.07</v>
      </c>
      <c r="C7">
        <v>119.625</v>
      </c>
    </row>
    <row r="8" spans="1:3" hidden="1" x14ac:dyDescent="0.25">
      <c r="A8" t="s">
        <v>12</v>
      </c>
      <c r="B8">
        <v>-960</v>
      </c>
      <c r="C8">
        <v>114.59399999999999</v>
      </c>
    </row>
    <row r="9" spans="1:3" hidden="1" x14ac:dyDescent="0.25">
      <c r="A9" t="s">
        <v>37</v>
      </c>
      <c r="B9">
        <v>-160</v>
      </c>
      <c r="C9">
        <v>116.459</v>
      </c>
    </row>
    <row r="10" spans="1:3" hidden="1" x14ac:dyDescent="0.25">
      <c r="A10" t="s">
        <v>16</v>
      </c>
      <c r="B10">
        <v>35</v>
      </c>
      <c r="C10">
        <v>117.483</v>
      </c>
    </row>
    <row r="11" spans="1:3" x14ac:dyDescent="0.25">
      <c r="A11" t="s">
        <v>17</v>
      </c>
      <c r="B11">
        <v>805</v>
      </c>
      <c r="C11">
        <v>115.532</v>
      </c>
    </row>
    <row r="12" spans="1:3" hidden="1" x14ac:dyDescent="0.25">
      <c r="A12" t="s">
        <v>22</v>
      </c>
      <c r="B12">
        <v>20</v>
      </c>
      <c r="C12">
        <v>115.97499999999999</v>
      </c>
    </row>
    <row r="13" spans="1:3" hidden="1" x14ac:dyDescent="0.25">
      <c r="A13" t="s">
        <v>9</v>
      </c>
      <c r="B13">
        <v>-1.0349999999999999</v>
      </c>
      <c r="C13">
        <v>116.051</v>
      </c>
    </row>
    <row r="14" spans="1:3" x14ac:dyDescent="0.25">
      <c r="A14" t="s">
        <v>33</v>
      </c>
      <c r="B14">
        <v>1455</v>
      </c>
      <c r="C14">
        <v>112.75700000000001</v>
      </c>
    </row>
    <row r="15" spans="1:3" hidden="1" x14ac:dyDescent="0.25">
      <c r="A15" t="s">
        <v>13</v>
      </c>
      <c r="B15">
        <v>-940</v>
      </c>
      <c r="C15">
        <v>115.346</v>
      </c>
    </row>
    <row r="16" spans="1:3" hidden="1" x14ac:dyDescent="0.25">
      <c r="A16" t="s">
        <v>19</v>
      </c>
      <c r="B16">
        <v>255</v>
      </c>
      <c r="C16">
        <v>115.684</v>
      </c>
    </row>
    <row r="17" spans="1:3" hidden="1" x14ac:dyDescent="0.25">
      <c r="A17" t="s">
        <v>40</v>
      </c>
      <c r="B17">
        <v>5.35</v>
      </c>
      <c r="C17">
        <v>115.79600000000001</v>
      </c>
    </row>
    <row r="18" spans="1:3" hidden="1" x14ac:dyDescent="0.25">
      <c r="A18" t="s">
        <v>25</v>
      </c>
      <c r="B18">
        <v>185</v>
      </c>
      <c r="C18">
        <v>114.76</v>
      </c>
    </row>
    <row r="19" spans="1:3" hidden="1" x14ac:dyDescent="0.25">
      <c r="A19" t="s">
        <v>39</v>
      </c>
      <c r="B19">
        <v>-3.39</v>
      </c>
      <c r="C19">
        <v>114.29600000000001</v>
      </c>
    </row>
    <row r="20" spans="1:3" x14ac:dyDescent="0.25">
      <c r="A20" t="s">
        <v>7</v>
      </c>
      <c r="B20">
        <v>575</v>
      </c>
      <c r="C20">
        <v>114.75700000000001</v>
      </c>
    </row>
    <row r="21" spans="1:3" x14ac:dyDescent="0.25">
      <c r="A21" t="s">
        <v>42</v>
      </c>
      <c r="B21">
        <v>-455</v>
      </c>
      <c r="C21">
        <v>113.959</v>
      </c>
    </row>
    <row r="22" spans="1:3" hidden="1" x14ac:dyDescent="0.25">
      <c r="A22" t="s">
        <v>29</v>
      </c>
      <c r="B22">
        <v>135</v>
      </c>
      <c r="C22">
        <v>116.384</v>
      </c>
    </row>
    <row r="23" spans="1:3" hidden="1" x14ac:dyDescent="0.25">
      <c r="A23" t="s">
        <v>38</v>
      </c>
      <c r="B23">
        <v>85</v>
      </c>
      <c r="C23">
        <v>115.92100000000001</v>
      </c>
    </row>
    <row r="24" spans="1:3" x14ac:dyDescent="0.25">
      <c r="A24" t="s">
        <v>44</v>
      </c>
      <c r="B24">
        <v>-655</v>
      </c>
      <c r="C24">
        <v>118.003</v>
      </c>
    </row>
    <row r="25" spans="1:3" hidden="1" x14ac:dyDescent="0.25">
      <c r="A25" t="s">
        <v>20</v>
      </c>
      <c r="B25">
        <v>-1.5249999999999999</v>
      </c>
      <c r="C25">
        <v>112.849</v>
      </c>
    </row>
    <row r="26" spans="1:3" hidden="1" x14ac:dyDescent="0.25">
      <c r="A26" t="s">
        <v>36</v>
      </c>
      <c r="B26">
        <v>170</v>
      </c>
      <c r="C26">
        <v>113.28</v>
      </c>
    </row>
    <row r="27" spans="1:3" hidden="1" x14ac:dyDescent="0.25">
      <c r="A27" t="s">
        <v>31</v>
      </c>
      <c r="B27">
        <v>20</v>
      </c>
      <c r="C27">
        <v>132.61500000000001</v>
      </c>
    </row>
    <row r="28" spans="1:3" hidden="1" x14ac:dyDescent="0.25">
      <c r="A28" t="s">
        <v>26</v>
      </c>
      <c r="B28">
        <v>500</v>
      </c>
      <c r="C28">
        <v>114.47199999999999</v>
      </c>
    </row>
    <row r="29" spans="1:3" hidden="1" x14ac:dyDescent="0.25">
      <c r="A29" t="s">
        <v>46</v>
      </c>
      <c r="B29">
        <v>110</v>
      </c>
      <c r="C29">
        <v>114.867</v>
      </c>
    </row>
    <row r="30" spans="1:3" hidden="1" x14ac:dyDescent="0.25">
      <c r="A30" t="s">
        <v>24</v>
      </c>
      <c r="B30">
        <v>20</v>
      </c>
      <c r="C30">
        <v>115.014</v>
      </c>
    </row>
    <row r="31" spans="1:3" hidden="1" x14ac:dyDescent="0.25">
      <c r="A31" t="s">
        <v>11</v>
      </c>
      <c r="B31">
        <v>-960</v>
      </c>
      <c r="C31">
        <v>116.855</v>
      </c>
    </row>
    <row r="32" spans="1:3" hidden="1" x14ac:dyDescent="0.25">
      <c r="A32" t="s">
        <v>30</v>
      </c>
      <c r="B32">
        <v>90</v>
      </c>
      <c r="C32">
        <v>115.509</v>
      </c>
    </row>
    <row r="33" spans="1:3" hidden="1" x14ac:dyDescent="0.25">
      <c r="A33" t="s">
        <v>15</v>
      </c>
      <c r="B33">
        <v>-1.645</v>
      </c>
      <c r="C33">
        <v>115.188</v>
      </c>
    </row>
    <row r="34" spans="1:3" x14ac:dyDescent="0.25">
      <c r="A34" t="s">
        <v>28</v>
      </c>
      <c r="B34">
        <v>-960</v>
      </c>
      <c r="C34">
        <v>115.09099999999999</v>
      </c>
    </row>
    <row r="35" spans="1:3" x14ac:dyDescent="0.25">
      <c r="A35" t="s">
        <v>8</v>
      </c>
      <c r="B35">
        <v>1410</v>
      </c>
      <c r="C35">
        <v>112.90600000000001</v>
      </c>
    </row>
    <row r="36" spans="1:3" hidden="1" x14ac:dyDescent="0.25">
      <c r="A36" t="s">
        <v>179</v>
      </c>
      <c r="B36">
        <v>-25</v>
      </c>
      <c r="C36">
        <v>113.727</v>
      </c>
    </row>
    <row r="37" spans="1:3" hidden="1" x14ac:dyDescent="0.25">
      <c r="A37" t="s">
        <v>6</v>
      </c>
      <c r="B37">
        <v>-500</v>
      </c>
      <c r="C37">
        <v>110.56699999999999</v>
      </c>
    </row>
  </sheetData>
  <autoFilter ref="A3:C37" xr:uid="{F67F9EAB-CCE7-4E95-8F28-E59A2F02DA3C}">
    <filterColumn colId="0">
      <filters>
        <filter val="Credit"/>
        <filter val="Goldman"/>
        <filter val="JP Morgan"/>
        <filter val="Merrill"/>
        <filter val="Morgan"/>
        <filter val="Tullett"/>
        <filter val="UBS"/>
      </filters>
    </filterColumn>
  </autoFilter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FBB499-E1C8-4E8B-B32E-227E3FCF0FA1}">
  <sheetPr codeName="Planilha31" filterMode="1"/>
  <dimension ref="A1:C45"/>
  <sheetViews>
    <sheetView workbookViewId="0">
      <selection activeCell="B46" sqref="B46"/>
    </sheetView>
  </sheetViews>
  <sheetFormatPr defaultRowHeight="15" x14ac:dyDescent="0.25"/>
  <sheetData>
    <row r="1" spans="1:3" x14ac:dyDescent="0.25">
      <c r="A1" t="s">
        <v>49</v>
      </c>
    </row>
    <row r="2" spans="1:3" x14ac:dyDescent="0.25">
      <c r="A2">
        <f>_xlfn.AGGREGATE(9,5,A4:B70)</f>
        <v>-28343</v>
      </c>
    </row>
    <row r="3" spans="1:3" x14ac:dyDescent="0.25">
      <c r="A3" t="s">
        <v>3</v>
      </c>
      <c r="B3" t="s">
        <v>4</v>
      </c>
      <c r="C3" t="s">
        <v>5</v>
      </c>
    </row>
    <row r="4" spans="1:3" hidden="1" x14ac:dyDescent="0.25">
      <c r="A4" t="s">
        <v>21</v>
      </c>
      <c r="B4">
        <v>663</v>
      </c>
      <c r="C4">
        <v>114.964</v>
      </c>
    </row>
    <row r="5" spans="1:3" hidden="1" x14ac:dyDescent="0.25">
      <c r="A5" t="s">
        <v>14</v>
      </c>
      <c r="B5">
        <v>-2.6389999999999998</v>
      </c>
      <c r="C5">
        <v>115.428</v>
      </c>
    </row>
    <row r="6" spans="1:3" hidden="1" x14ac:dyDescent="0.25">
      <c r="A6" t="s">
        <v>43</v>
      </c>
      <c r="B6">
        <v>-16.239999999999998</v>
      </c>
      <c r="C6">
        <v>115.479</v>
      </c>
    </row>
    <row r="7" spans="1:3" hidden="1" x14ac:dyDescent="0.25">
      <c r="A7" t="s">
        <v>35</v>
      </c>
      <c r="B7">
        <v>-11.691000000000001</v>
      </c>
      <c r="C7">
        <v>115.542</v>
      </c>
    </row>
    <row r="8" spans="1:3" hidden="1" x14ac:dyDescent="0.25">
      <c r="A8" t="s">
        <v>41</v>
      </c>
      <c r="B8">
        <v>-28.445</v>
      </c>
      <c r="C8">
        <v>115.54</v>
      </c>
    </row>
    <row r="9" spans="1:3" hidden="1" x14ac:dyDescent="0.25">
      <c r="A9" t="s">
        <v>12</v>
      </c>
      <c r="B9">
        <v>-3.359</v>
      </c>
      <c r="C9">
        <v>115.81</v>
      </c>
    </row>
    <row r="10" spans="1:3" hidden="1" x14ac:dyDescent="0.25">
      <c r="A10" t="s">
        <v>37</v>
      </c>
      <c r="B10">
        <v>3.1389999999999998</v>
      </c>
      <c r="C10">
        <v>115.684</v>
      </c>
    </row>
    <row r="11" spans="1:3" hidden="1" x14ac:dyDescent="0.25">
      <c r="A11" t="s">
        <v>16</v>
      </c>
      <c r="B11">
        <v>6.2430000000000003</v>
      </c>
      <c r="C11">
        <v>115.535</v>
      </c>
    </row>
    <row r="12" spans="1:3" x14ac:dyDescent="0.25">
      <c r="A12" t="s">
        <v>17</v>
      </c>
      <c r="B12">
        <v>-9449</v>
      </c>
      <c r="C12">
        <v>115.21599999999999</v>
      </c>
    </row>
    <row r="13" spans="1:3" hidden="1" x14ac:dyDescent="0.25">
      <c r="A13" t="s">
        <v>34</v>
      </c>
      <c r="B13">
        <v>388</v>
      </c>
      <c r="C13">
        <v>115.657</v>
      </c>
    </row>
    <row r="14" spans="1:3" hidden="1" x14ac:dyDescent="0.25">
      <c r="A14" t="s">
        <v>23</v>
      </c>
      <c r="B14">
        <v>-5.9909999999999997</v>
      </c>
      <c r="C14">
        <v>115.215</v>
      </c>
    </row>
    <row r="15" spans="1:3" hidden="1" x14ac:dyDescent="0.25">
      <c r="A15" t="s">
        <v>22</v>
      </c>
      <c r="B15">
        <v>52</v>
      </c>
      <c r="C15">
        <v>114.822</v>
      </c>
    </row>
    <row r="16" spans="1:3" hidden="1" x14ac:dyDescent="0.25">
      <c r="A16" t="s">
        <v>9</v>
      </c>
      <c r="B16">
        <v>19.788</v>
      </c>
      <c r="C16">
        <v>115.51</v>
      </c>
    </row>
    <row r="17" spans="1:3" x14ac:dyDescent="0.25">
      <c r="A17" t="s">
        <v>33</v>
      </c>
      <c r="B17">
        <v>5463</v>
      </c>
      <c r="C17">
        <v>115.711</v>
      </c>
    </row>
    <row r="18" spans="1:3" hidden="1" x14ac:dyDescent="0.25">
      <c r="A18" t="s">
        <v>13</v>
      </c>
      <c r="B18">
        <v>28.12</v>
      </c>
      <c r="C18">
        <v>115.84399999999999</v>
      </c>
    </row>
    <row r="19" spans="1:3" hidden="1" x14ac:dyDescent="0.25">
      <c r="A19" t="s">
        <v>32</v>
      </c>
      <c r="B19">
        <v>39</v>
      </c>
      <c r="C19">
        <v>115.343</v>
      </c>
    </row>
    <row r="20" spans="1:3" hidden="1" x14ac:dyDescent="0.25">
      <c r="A20" t="s">
        <v>19</v>
      </c>
      <c r="B20">
        <v>177</v>
      </c>
      <c r="C20">
        <v>114.96599999999999</v>
      </c>
    </row>
    <row r="21" spans="1:3" hidden="1" x14ac:dyDescent="0.25">
      <c r="A21" t="s">
        <v>40</v>
      </c>
      <c r="B21">
        <v>-26.715</v>
      </c>
      <c r="C21">
        <v>115.583</v>
      </c>
    </row>
    <row r="22" spans="1:3" hidden="1" x14ac:dyDescent="0.25">
      <c r="A22" t="s">
        <v>27</v>
      </c>
      <c r="B22">
        <v>115</v>
      </c>
      <c r="C22">
        <v>115.339</v>
      </c>
    </row>
    <row r="23" spans="1:3" hidden="1" x14ac:dyDescent="0.25">
      <c r="A23" t="s">
        <v>25</v>
      </c>
      <c r="B23">
        <v>8.9760000000000009</v>
      </c>
      <c r="C23">
        <v>115.047</v>
      </c>
    </row>
    <row r="24" spans="1:3" hidden="1" x14ac:dyDescent="0.25">
      <c r="A24" t="s">
        <v>39</v>
      </c>
      <c r="B24">
        <v>-4.47</v>
      </c>
      <c r="C24">
        <v>114.992</v>
      </c>
    </row>
    <row r="25" spans="1:3" x14ac:dyDescent="0.25">
      <c r="A25" t="s">
        <v>7</v>
      </c>
      <c r="B25">
        <v>1799</v>
      </c>
      <c r="C25">
        <v>115.218</v>
      </c>
    </row>
    <row r="26" spans="1:3" hidden="1" x14ac:dyDescent="0.25">
      <c r="A26" t="s">
        <v>174</v>
      </c>
      <c r="B26">
        <v>1</v>
      </c>
      <c r="C26">
        <v>116.745</v>
      </c>
    </row>
    <row r="27" spans="1:3" x14ac:dyDescent="0.25">
      <c r="A27" t="s">
        <v>42</v>
      </c>
      <c r="B27">
        <v>46703</v>
      </c>
      <c r="C27">
        <v>115.25</v>
      </c>
    </row>
    <row r="28" spans="1:3" hidden="1" x14ac:dyDescent="0.25">
      <c r="A28" t="s">
        <v>29</v>
      </c>
      <c r="B28">
        <v>-1.4770000000000001</v>
      </c>
      <c r="C28">
        <v>115.57599999999999</v>
      </c>
    </row>
    <row r="29" spans="1:3" hidden="1" x14ac:dyDescent="0.25">
      <c r="A29" t="s">
        <v>38</v>
      </c>
      <c r="B29">
        <v>1.329</v>
      </c>
      <c r="C29">
        <v>115.69</v>
      </c>
    </row>
    <row r="30" spans="1:3" x14ac:dyDescent="0.25">
      <c r="A30" t="s">
        <v>44</v>
      </c>
      <c r="B30">
        <v>-13993</v>
      </c>
      <c r="C30">
        <v>115.532</v>
      </c>
    </row>
    <row r="31" spans="1:3" hidden="1" x14ac:dyDescent="0.25">
      <c r="A31" t="s">
        <v>20</v>
      </c>
      <c r="B31">
        <v>1.169</v>
      </c>
      <c r="C31">
        <v>115.744</v>
      </c>
    </row>
    <row r="32" spans="1:3" hidden="1" x14ac:dyDescent="0.25">
      <c r="A32" t="s">
        <v>36</v>
      </c>
      <c r="B32">
        <v>9.7620000000000005</v>
      </c>
      <c r="C32">
        <v>115.542</v>
      </c>
    </row>
    <row r="33" spans="1:3" hidden="1" x14ac:dyDescent="0.25">
      <c r="A33" t="s">
        <v>31</v>
      </c>
      <c r="B33">
        <v>133</v>
      </c>
      <c r="C33">
        <v>115.593</v>
      </c>
    </row>
    <row r="34" spans="1:3" hidden="1" x14ac:dyDescent="0.25">
      <c r="A34" t="s">
        <v>26</v>
      </c>
      <c r="B34">
        <v>621</v>
      </c>
      <c r="C34">
        <v>115.422</v>
      </c>
    </row>
    <row r="35" spans="1:3" hidden="1" x14ac:dyDescent="0.25">
      <c r="A35" t="s">
        <v>46</v>
      </c>
      <c r="B35">
        <v>200</v>
      </c>
      <c r="C35">
        <v>114.624</v>
      </c>
    </row>
    <row r="36" spans="1:3" hidden="1" x14ac:dyDescent="0.25">
      <c r="A36" t="s">
        <v>18</v>
      </c>
      <c r="B36">
        <v>3.1179999999999999</v>
      </c>
      <c r="C36">
        <v>115.557</v>
      </c>
    </row>
    <row r="37" spans="1:3" hidden="1" x14ac:dyDescent="0.25">
      <c r="A37" t="s">
        <v>24</v>
      </c>
      <c r="B37">
        <v>1.0620000000000001</v>
      </c>
      <c r="C37">
        <v>115.80800000000001</v>
      </c>
    </row>
    <row r="38" spans="1:3" hidden="1" x14ac:dyDescent="0.25">
      <c r="A38" t="s">
        <v>11</v>
      </c>
      <c r="B38">
        <v>-2.4159999999999999</v>
      </c>
      <c r="C38">
        <v>115.428</v>
      </c>
    </row>
    <row r="39" spans="1:3" hidden="1" x14ac:dyDescent="0.25">
      <c r="A39" t="s">
        <v>30</v>
      </c>
      <c r="B39">
        <v>66</v>
      </c>
      <c r="C39">
        <v>115.949</v>
      </c>
    </row>
    <row r="40" spans="1:3" hidden="1" x14ac:dyDescent="0.25">
      <c r="A40" t="s">
        <v>15</v>
      </c>
      <c r="B40">
        <v>702</v>
      </c>
      <c r="C40">
        <v>115.613</v>
      </c>
    </row>
    <row r="41" spans="1:3" hidden="1" x14ac:dyDescent="0.25">
      <c r="A41" t="s">
        <v>10</v>
      </c>
      <c r="B41">
        <v>958</v>
      </c>
      <c r="C41">
        <v>115.73399999999999</v>
      </c>
    </row>
    <row r="42" spans="1:3" x14ac:dyDescent="0.25">
      <c r="A42" t="s">
        <v>28</v>
      </c>
      <c r="B42">
        <v>-21238</v>
      </c>
      <c r="C42">
        <v>115.226</v>
      </c>
    </row>
    <row r="43" spans="1:3" x14ac:dyDescent="0.25">
      <c r="A43" t="s">
        <v>8</v>
      </c>
      <c r="B43">
        <v>-37628</v>
      </c>
      <c r="C43">
        <v>115.443</v>
      </c>
    </row>
    <row r="44" spans="1:3" hidden="1" x14ac:dyDescent="0.25">
      <c r="A44" t="s">
        <v>45</v>
      </c>
      <c r="B44">
        <v>528</v>
      </c>
      <c r="C44">
        <v>115.41200000000001</v>
      </c>
    </row>
    <row r="45" spans="1:3" hidden="1" x14ac:dyDescent="0.25">
      <c r="A45" t="s">
        <v>6</v>
      </c>
      <c r="B45">
        <v>44.436999999999998</v>
      </c>
      <c r="C45">
        <v>115.43899999999999</v>
      </c>
    </row>
  </sheetData>
  <autoFilter ref="A3:C45" xr:uid="{23FBB499-E1C8-4E8B-B32E-227E3FCF0FA1}">
    <filterColumn colId="0">
      <filters>
        <filter val="Credit"/>
        <filter val="Goldman"/>
        <filter val="JP Morgan"/>
        <filter val="Merrill"/>
        <filter val="Morgan"/>
        <filter val="Tullett"/>
        <filter val="UBS"/>
      </filters>
    </filterColumn>
  </autoFilter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34007-799A-43E4-8E7E-944A0B51C677}">
  <sheetPr codeName="Planilha32" filterMode="1"/>
  <dimension ref="A1:C38"/>
  <sheetViews>
    <sheetView workbookViewId="0">
      <selection activeCell="B21" sqref="B21"/>
    </sheetView>
  </sheetViews>
  <sheetFormatPr defaultRowHeight="15" x14ac:dyDescent="0.25"/>
  <sheetData>
    <row r="1" spans="1:3" x14ac:dyDescent="0.25">
      <c r="A1" t="s">
        <v>49</v>
      </c>
    </row>
    <row r="2" spans="1:3" x14ac:dyDescent="0.25">
      <c r="A2">
        <f>_xlfn.AGGREGATE(9,5,A4:B70)</f>
        <v>2870</v>
      </c>
    </row>
    <row r="3" spans="1:3" x14ac:dyDescent="0.25">
      <c r="A3" t="s">
        <v>3</v>
      </c>
      <c r="B3" t="s">
        <v>4</v>
      </c>
      <c r="C3" t="s">
        <v>5</v>
      </c>
    </row>
    <row r="4" spans="1:3" hidden="1" x14ac:dyDescent="0.25">
      <c r="A4" t="s">
        <v>14</v>
      </c>
      <c r="B4">
        <v>10</v>
      </c>
      <c r="C4">
        <v>110.26300000000001</v>
      </c>
    </row>
    <row r="5" spans="1:3" hidden="1" x14ac:dyDescent="0.25">
      <c r="A5" t="s">
        <v>43</v>
      </c>
      <c r="B5">
        <v>-10</v>
      </c>
      <c r="C5">
        <v>139.44499999999999</v>
      </c>
    </row>
    <row r="6" spans="1:3" hidden="1" x14ac:dyDescent="0.25">
      <c r="A6" t="s">
        <v>35</v>
      </c>
      <c r="B6">
        <v>-740</v>
      </c>
      <c r="C6">
        <v>117.735</v>
      </c>
    </row>
    <row r="7" spans="1:3" hidden="1" x14ac:dyDescent="0.25">
      <c r="A7" t="s">
        <v>41</v>
      </c>
      <c r="B7">
        <v>-1.1950000000000001</v>
      </c>
      <c r="C7">
        <v>118.404</v>
      </c>
    </row>
    <row r="8" spans="1:3" hidden="1" x14ac:dyDescent="0.25">
      <c r="A8" t="s">
        <v>12</v>
      </c>
      <c r="B8">
        <v>-200</v>
      </c>
      <c r="C8">
        <v>118.26900000000001</v>
      </c>
    </row>
    <row r="9" spans="1:3" hidden="1" x14ac:dyDescent="0.25">
      <c r="A9" t="s">
        <v>37</v>
      </c>
      <c r="B9">
        <v>-325</v>
      </c>
      <c r="C9">
        <v>118.392</v>
      </c>
    </row>
    <row r="10" spans="1:3" hidden="1" x14ac:dyDescent="0.25">
      <c r="A10" t="s">
        <v>16</v>
      </c>
      <c r="B10">
        <v>-140</v>
      </c>
      <c r="C10">
        <v>117.538</v>
      </c>
    </row>
    <row r="11" spans="1:3" x14ac:dyDescent="0.25">
      <c r="A11" t="s">
        <v>17</v>
      </c>
      <c r="B11">
        <v>655</v>
      </c>
      <c r="C11">
        <v>116.95399999999999</v>
      </c>
    </row>
    <row r="12" spans="1:3" hidden="1" x14ac:dyDescent="0.25">
      <c r="A12" t="s">
        <v>34</v>
      </c>
      <c r="B12">
        <v>5</v>
      </c>
      <c r="C12">
        <v>116.64</v>
      </c>
    </row>
    <row r="13" spans="1:3" hidden="1" x14ac:dyDescent="0.25">
      <c r="A13" t="s">
        <v>9</v>
      </c>
      <c r="B13">
        <v>1.365</v>
      </c>
      <c r="C13">
        <v>117.607</v>
      </c>
    </row>
    <row r="14" spans="1:3" x14ac:dyDescent="0.25">
      <c r="A14" t="s">
        <v>33</v>
      </c>
      <c r="B14">
        <v>1610</v>
      </c>
      <c r="C14">
        <v>118.27</v>
      </c>
    </row>
    <row r="15" spans="1:3" hidden="1" x14ac:dyDescent="0.25">
      <c r="A15" t="s">
        <v>13</v>
      </c>
      <c r="B15">
        <v>150</v>
      </c>
      <c r="C15">
        <v>118.411</v>
      </c>
    </row>
    <row r="16" spans="1:3" hidden="1" x14ac:dyDescent="0.25">
      <c r="A16" t="s">
        <v>32</v>
      </c>
      <c r="B16">
        <v>15</v>
      </c>
      <c r="C16">
        <v>118.2</v>
      </c>
    </row>
    <row r="17" spans="1:3" hidden="1" x14ac:dyDescent="0.25">
      <c r="A17" t="s">
        <v>19</v>
      </c>
      <c r="B17">
        <v>-5</v>
      </c>
      <c r="C17">
        <v>144.745</v>
      </c>
    </row>
    <row r="18" spans="1:3" hidden="1" x14ac:dyDescent="0.25">
      <c r="A18" t="s">
        <v>40</v>
      </c>
      <c r="B18">
        <v>-840</v>
      </c>
      <c r="C18">
        <v>117.708</v>
      </c>
    </row>
    <row r="19" spans="1:3" hidden="1" x14ac:dyDescent="0.25">
      <c r="A19" t="s">
        <v>25</v>
      </c>
      <c r="B19">
        <v>5</v>
      </c>
      <c r="C19">
        <v>118.36</v>
      </c>
    </row>
    <row r="20" spans="1:3" hidden="1" x14ac:dyDescent="0.25">
      <c r="A20" t="s">
        <v>39</v>
      </c>
      <c r="B20">
        <v>35</v>
      </c>
      <c r="C20">
        <v>120.02200000000001</v>
      </c>
    </row>
    <row r="21" spans="1:3" x14ac:dyDescent="0.25">
      <c r="A21" t="s">
        <v>7</v>
      </c>
      <c r="B21">
        <v>205</v>
      </c>
      <c r="C21">
        <v>118.187</v>
      </c>
    </row>
    <row r="22" spans="1:3" x14ac:dyDescent="0.25">
      <c r="A22" t="s">
        <v>42</v>
      </c>
      <c r="B22">
        <v>25</v>
      </c>
      <c r="C22">
        <v>117.152</v>
      </c>
    </row>
    <row r="23" spans="1:3" hidden="1" x14ac:dyDescent="0.25">
      <c r="A23" t="s">
        <v>29</v>
      </c>
      <c r="B23">
        <v>45</v>
      </c>
      <c r="C23">
        <v>118.389</v>
      </c>
    </row>
    <row r="24" spans="1:3" hidden="1" x14ac:dyDescent="0.25">
      <c r="A24" t="s">
        <v>38</v>
      </c>
      <c r="B24">
        <v>10</v>
      </c>
      <c r="C24">
        <v>120.685</v>
      </c>
    </row>
    <row r="25" spans="1:3" x14ac:dyDescent="0.25">
      <c r="A25" t="s">
        <v>44</v>
      </c>
      <c r="B25">
        <v>320</v>
      </c>
      <c r="C25">
        <v>118.574</v>
      </c>
    </row>
    <row r="26" spans="1:3" hidden="1" x14ac:dyDescent="0.25">
      <c r="A26" t="s">
        <v>20</v>
      </c>
      <c r="B26">
        <v>-145</v>
      </c>
      <c r="C26">
        <v>117.807</v>
      </c>
    </row>
    <row r="27" spans="1:3" hidden="1" x14ac:dyDescent="0.25">
      <c r="A27" t="s">
        <v>36</v>
      </c>
      <c r="B27">
        <v>710</v>
      </c>
      <c r="C27">
        <v>117.024</v>
      </c>
    </row>
    <row r="28" spans="1:3" hidden="1" x14ac:dyDescent="0.25">
      <c r="A28" t="s">
        <v>31</v>
      </c>
      <c r="B28">
        <v>-5</v>
      </c>
      <c r="C28">
        <v>124.485</v>
      </c>
    </row>
    <row r="29" spans="1:3" hidden="1" x14ac:dyDescent="0.25">
      <c r="A29" t="s">
        <v>26</v>
      </c>
      <c r="B29">
        <v>-40</v>
      </c>
      <c r="C29">
        <v>118.315</v>
      </c>
    </row>
    <row r="30" spans="1:3" hidden="1" x14ac:dyDescent="0.25">
      <c r="A30" t="s">
        <v>46</v>
      </c>
      <c r="B30">
        <v>-160</v>
      </c>
      <c r="C30">
        <v>118.40900000000001</v>
      </c>
    </row>
    <row r="31" spans="1:3" hidden="1" x14ac:dyDescent="0.25">
      <c r="A31" t="s">
        <v>18</v>
      </c>
      <c r="B31">
        <v>-5</v>
      </c>
      <c r="C31">
        <v>108.655</v>
      </c>
    </row>
    <row r="32" spans="1:3" hidden="1" x14ac:dyDescent="0.25">
      <c r="A32" t="s">
        <v>24</v>
      </c>
      <c r="B32">
        <v>-5</v>
      </c>
      <c r="C32">
        <v>116.7</v>
      </c>
    </row>
    <row r="33" spans="1:3" hidden="1" x14ac:dyDescent="0.25">
      <c r="A33" t="s">
        <v>11</v>
      </c>
      <c r="B33">
        <v>1.5549999999999999</v>
      </c>
      <c r="C33">
        <v>118.533</v>
      </c>
    </row>
    <row r="34" spans="1:3" hidden="1" x14ac:dyDescent="0.25">
      <c r="A34" t="s">
        <v>30</v>
      </c>
      <c r="B34">
        <v>-70</v>
      </c>
      <c r="C34">
        <v>117.455</v>
      </c>
    </row>
    <row r="35" spans="1:3" hidden="1" x14ac:dyDescent="0.25">
      <c r="A35" t="s">
        <v>15</v>
      </c>
      <c r="B35">
        <v>-20</v>
      </c>
      <c r="C35">
        <v>118.31</v>
      </c>
    </row>
    <row r="36" spans="1:3" x14ac:dyDescent="0.25">
      <c r="A36" t="s">
        <v>28</v>
      </c>
      <c r="B36">
        <v>150</v>
      </c>
      <c r="C36">
        <v>117.92100000000001</v>
      </c>
    </row>
    <row r="37" spans="1:3" x14ac:dyDescent="0.25">
      <c r="A37" t="s">
        <v>8</v>
      </c>
      <c r="B37">
        <v>-95</v>
      </c>
      <c r="C37">
        <v>109.047</v>
      </c>
    </row>
    <row r="38" spans="1:3" hidden="1" x14ac:dyDescent="0.25">
      <c r="A38" t="s">
        <v>6</v>
      </c>
      <c r="B38">
        <v>-2.87</v>
      </c>
      <c r="C38">
        <v>117.994</v>
      </c>
    </row>
  </sheetData>
  <autoFilter ref="A3:C38" xr:uid="{17034007-799A-43E4-8E7E-944A0B51C677}">
    <filterColumn colId="0">
      <filters>
        <filter val="Credit"/>
        <filter val="Goldman"/>
        <filter val="JP Morgan"/>
        <filter val="Merrill"/>
        <filter val="Morgan"/>
        <filter val="Tullett"/>
        <filter val="UBS"/>
      </filters>
    </filterColumn>
  </autoFilter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94B95-8B75-449C-81E9-11A0A7483D63}">
  <sheetPr codeName="Planilha33" filterMode="1"/>
  <dimension ref="A1:C43"/>
  <sheetViews>
    <sheetView workbookViewId="0">
      <selection activeCell="B44" sqref="B44"/>
    </sheetView>
  </sheetViews>
  <sheetFormatPr defaultRowHeight="15" x14ac:dyDescent="0.25"/>
  <sheetData>
    <row r="1" spans="1:3" x14ac:dyDescent="0.25">
      <c r="A1" t="s">
        <v>49</v>
      </c>
    </row>
    <row r="2" spans="1:3" x14ac:dyDescent="0.25">
      <c r="A2">
        <f>_xlfn.AGGREGATE(9,5,A4:B70)</f>
        <v>41701</v>
      </c>
    </row>
    <row r="3" spans="1:3" x14ac:dyDescent="0.25">
      <c r="A3" t="s">
        <v>3</v>
      </c>
      <c r="B3" t="s">
        <v>4</v>
      </c>
      <c r="C3" t="s">
        <v>5</v>
      </c>
    </row>
    <row r="4" spans="1:3" hidden="1" x14ac:dyDescent="0.25">
      <c r="A4" t="s">
        <v>21</v>
      </c>
      <c r="B4">
        <v>-1.038</v>
      </c>
      <c r="C4">
        <v>117.188</v>
      </c>
    </row>
    <row r="5" spans="1:3" hidden="1" x14ac:dyDescent="0.25">
      <c r="A5" t="s">
        <v>14</v>
      </c>
      <c r="B5">
        <v>-1.1160000000000001</v>
      </c>
      <c r="C5">
        <v>117.907</v>
      </c>
    </row>
    <row r="6" spans="1:3" hidden="1" x14ac:dyDescent="0.25">
      <c r="A6" t="s">
        <v>43</v>
      </c>
      <c r="B6">
        <v>12.121</v>
      </c>
      <c r="C6">
        <v>118.07899999999999</v>
      </c>
    </row>
    <row r="7" spans="1:3" hidden="1" x14ac:dyDescent="0.25">
      <c r="A7" t="s">
        <v>35</v>
      </c>
      <c r="B7">
        <v>1.823</v>
      </c>
      <c r="C7">
        <v>117.768</v>
      </c>
    </row>
    <row r="8" spans="1:3" hidden="1" x14ac:dyDescent="0.25">
      <c r="A8" t="s">
        <v>41</v>
      </c>
      <c r="B8">
        <v>-6.181</v>
      </c>
      <c r="C8">
        <v>117.53400000000001</v>
      </c>
    </row>
    <row r="9" spans="1:3" hidden="1" x14ac:dyDescent="0.25">
      <c r="A9" t="s">
        <v>12</v>
      </c>
      <c r="B9">
        <v>146</v>
      </c>
      <c r="C9">
        <v>117.852</v>
      </c>
    </row>
    <row r="10" spans="1:3" hidden="1" x14ac:dyDescent="0.25">
      <c r="A10" t="s">
        <v>37</v>
      </c>
      <c r="B10">
        <v>-10.128</v>
      </c>
      <c r="C10">
        <v>117.764</v>
      </c>
    </row>
    <row r="11" spans="1:3" hidden="1" x14ac:dyDescent="0.25">
      <c r="A11" t="s">
        <v>16</v>
      </c>
      <c r="B11">
        <v>-5.36</v>
      </c>
      <c r="C11">
        <v>117.754</v>
      </c>
    </row>
    <row r="12" spans="1:3" x14ac:dyDescent="0.25">
      <c r="A12" t="s">
        <v>17</v>
      </c>
      <c r="B12">
        <v>2934</v>
      </c>
      <c r="C12">
        <v>117.819</v>
      </c>
    </row>
    <row r="13" spans="1:3" hidden="1" x14ac:dyDescent="0.25">
      <c r="A13" t="s">
        <v>34</v>
      </c>
      <c r="B13">
        <v>-825</v>
      </c>
      <c r="C13">
        <v>117.63800000000001</v>
      </c>
    </row>
    <row r="14" spans="1:3" hidden="1" x14ac:dyDescent="0.25">
      <c r="A14" t="s">
        <v>23</v>
      </c>
      <c r="B14">
        <v>-10</v>
      </c>
      <c r="C14">
        <v>117.535</v>
      </c>
    </row>
    <row r="15" spans="1:3" hidden="1" x14ac:dyDescent="0.25">
      <c r="A15" t="s">
        <v>9</v>
      </c>
      <c r="B15">
        <v>2.1890000000000001</v>
      </c>
      <c r="C15">
        <v>117.822</v>
      </c>
    </row>
    <row r="16" spans="1:3" x14ac:dyDescent="0.25">
      <c r="A16" t="s">
        <v>33</v>
      </c>
      <c r="B16">
        <v>3679</v>
      </c>
      <c r="C16">
        <v>117.84</v>
      </c>
    </row>
    <row r="17" spans="1:3" hidden="1" x14ac:dyDescent="0.25">
      <c r="A17" t="s">
        <v>13</v>
      </c>
      <c r="B17">
        <v>-624</v>
      </c>
      <c r="C17">
        <v>117.85299999999999</v>
      </c>
    </row>
    <row r="18" spans="1:3" hidden="1" x14ac:dyDescent="0.25">
      <c r="A18" t="s">
        <v>32</v>
      </c>
      <c r="B18">
        <v>-61</v>
      </c>
      <c r="C18">
        <v>117.83799999999999</v>
      </c>
    </row>
    <row r="19" spans="1:3" hidden="1" x14ac:dyDescent="0.25">
      <c r="A19" t="s">
        <v>19</v>
      </c>
      <c r="B19">
        <v>14</v>
      </c>
      <c r="C19">
        <v>117.752</v>
      </c>
    </row>
    <row r="20" spans="1:3" hidden="1" x14ac:dyDescent="0.25">
      <c r="A20" t="s">
        <v>40</v>
      </c>
      <c r="B20">
        <v>3.0760000000000001</v>
      </c>
      <c r="C20">
        <v>117.62</v>
      </c>
    </row>
    <row r="21" spans="1:3" hidden="1" x14ac:dyDescent="0.25">
      <c r="A21" t="s">
        <v>27</v>
      </c>
      <c r="B21">
        <v>-376</v>
      </c>
      <c r="C21">
        <v>117.872</v>
      </c>
    </row>
    <row r="22" spans="1:3" hidden="1" x14ac:dyDescent="0.25">
      <c r="A22" t="s">
        <v>25</v>
      </c>
      <c r="B22">
        <v>30</v>
      </c>
      <c r="C22">
        <v>118.254</v>
      </c>
    </row>
    <row r="23" spans="1:3" hidden="1" x14ac:dyDescent="0.25">
      <c r="A23" t="s">
        <v>39</v>
      </c>
      <c r="B23">
        <v>305</v>
      </c>
      <c r="C23">
        <v>117.67700000000001</v>
      </c>
    </row>
    <row r="24" spans="1:3" x14ac:dyDescent="0.25">
      <c r="A24" t="s">
        <v>7</v>
      </c>
      <c r="B24">
        <v>3827</v>
      </c>
      <c r="C24">
        <v>117.614</v>
      </c>
    </row>
    <row r="25" spans="1:3" x14ac:dyDescent="0.25">
      <c r="A25" t="s">
        <v>42</v>
      </c>
      <c r="B25">
        <v>1383</v>
      </c>
      <c r="C25">
        <v>117.869</v>
      </c>
    </row>
    <row r="26" spans="1:3" hidden="1" x14ac:dyDescent="0.25">
      <c r="A26" t="s">
        <v>29</v>
      </c>
      <c r="B26">
        <v>-227</v>
      </c>
      <c r="C26">
        <v>117.75700000000001</v>
      </c>
    </row>
    <row r="27" spans="1:3" hidden="1" x14ac:dyDescent="0.25">
      <c r="A27" t="s">
        <v>38</v>
      </c>
      <c r="B27">
        <v>3</v>
      </c>
      <c r="C27">
        <v>117.693</v>
      </c>
    </row>
    <row r="28" spans="1:3" x14ac:dyDescent="0.25">
      <c r="A28" t="s">
        <v>44</v>
      </c>
      <c r="B28">
        <v>10828</v>
      </c>
      <c r="C28">
        <v>117.977</v>
      </c>
    </row>
    <row r="29" spans="1:3" hidden="1" x14ac:dyDescent="0.25">
      <c r="A29" t="s">
        <v>20</v>
      </c>
      <c r="B29">
        <v>-2.09</v>
      </c>
      <c r="C29">
        <v>117.745</v>
      </c>
    </row>
    <row r="30" spans="1:3" hidden="1" x14ac:dyDescent="0.25">
      <c r="A30" t="s">
        <v>36</v>
      </c>
      <c r="B30">
        <v>-2.1080000000000001</v>
      </c>
      <c r="C30">
        <v>117.712</v>
      </c>
    </row>
    <row r="31" spans="1:3" hidden="1" x14ac:dyDescent="0.25">
      <c r="A31" t="s">
        <v>31</v>
      </c>
      <c r="B31">
        <v>10</v>
      </c>
      <c r="C31">
        <v>117.788</v>
      </c>
    </row>
    <row r="32" spans="1:3" hidden="1" x14ac:dyDescent="0.25">
      <c r="A32" t="s">
        <v>26</v>
      </c>
      <c r="B32">
        <v>-275</v>
      </c>
      <c r="C32">
        <v>117.79300000000001</v>
      </c>
    </row>
    <row r="33" spans="1:3" hidden="1" x14ac:dyDescent="0.25">
      <c r="A33" t="s">
        <v>46</v>
      </c>
      <c r="B33">
        <v>-4</v>
      </c>
      <c r="C33">
        <v>118.23399999999999</v>
      </c>
    </row>
    <row r="34" spans="1:3" hidden="1" x14ac:dyDescent="0.25">
      <c r="A34" t="s">
        <v>18</v>
      </c>
      <c r="B34">
        <v>-2.4529999999999998</v>
      </c>
      <c r="C34">
        <v>117.76600000000001</v>
      </c>
    </row>
    <row r="35" spans="1:3" hidden="1" x14ac:dyDescent="0.25">
      <c r="A35" t="s">
        <v>24</v>
      </c>
      <c r="B35">
        <v>1.456</v>
      </c>
      <c r="C35">
        <v>118.211</v>
      </c>
    </row>
    <row r="36" spans="1:3" hidden="1" x14ac:dyDescent="0.25">
      <c r="A36" t="s">
        <v>11</v>
      </c>
      <c r="B36">
        <v>4.1079999999999997</v>
      </c>
      <c r="C36">
        <v>117.399</v>
      </c>
    </row>
    <row r="37" spans="1:3" hidden="1" x14ac:dyDescent="0.25">
      <c r="A37" t="s">
        <v>30</v>
      </c>
      <c r="B37">
        <v>-57</v>
      </c>
      <c r="C37">
        <v>118.01300000000001</v>
      </c>
    </row>
    <row r="38" spans="1:3" hidden="1" x14ac:dyDescent="0.25">
      <c r="A38" t="s">
        <v>15</v>
      </c>
      <c r="B38">
        <v>-1.7689999999999999</v>
      </c>
      <c r="C38">
        <v>117.675</v>
      </c>
    </row>
    <row r="39" spans="1:3" hidden="1" x14ac:dyDescent="0.25">
      <c r="A39" t="s">
        <v>10</v>
      </c>
      <c r="B39">
        <v>-5.7949999999999999</v>
      </c>
      <c r="C39">
        <v>117.70699999999999</v>
      </c>
    </row>
    <row r="40" spans="1:3" x14ac:dyDescent="0.25">
      <c r="A40" t="s">
        <v>28</v>
      </c>
      <c r="B40">
        <v>-2551</v>
      </c>
      <c r="C40">
        <v>117.532</v>
      </c>
    </row>
    <row r="41" spans="1:3" x14ac:dyDescent="0.25">
      <c r="A41" t="s">
        <v>8</v>
      </c>
      <c r="B41">
        <v>21601</v>
      </c>
      <c r="C41">
        <v>117.715</v>
      </c>
    </row>
    <row r="42" spans="1:3" hidden="1" x14ac:dyDescent="0.25">
      <c r="A42" t="s">
        <v>45</v>
      </c>
      <c r="B42">
        <v>-326</v>
      </c>
      <c r="C42">
        <v>117.584</v>
      </c>
    </row>
    <row r="43" spans="1:3" hidden="1" x14ac:dyDescent="0.25">
      <c r="A43" t="s">
        <v>6</v>
      </c>
      <c r="B43">
        <v>-26.158999999999999</v>
      </c>
      <c r="C43">
        <v>117.753</v>
      </c>
    </row>
  </sheetData>
  <autoFilter ref="A3:C43" xr:uid="{2BB94B95-8B75-449C-81E9-11A0A7483D63}">
    <filterColumn colId="0">
      <filters>
        <filter val="Credit"/>
        <filter val="Goldman"/>
        <filter val="JP Morgan"/>
        <filter val="Merrill"/>
        <filter val="Morgan"/>
        <filter val="Tullett"/>
        <filter val="UBS"/>
      </filters>
    </filterColumn>
  </autoFilter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448D81-6885-490B-BB11-69894AC0D94D}">
  <sheetPr codeName="Planilha34" filterMode="1"/>
  <dimension ref="A1:C36"/>
  <sheetViews>
    <sheetView workbookViewId="0">
      <selection activeCell="B37" sqref="B37"/>
    </sheetView>
  </sheetViews>
  <sheetFormatPr defaultRowHeight="15" x14ac:dyDescent="0.25"/>
  <sheetData>
    <row r="1" spans="1:3" x14ac:dyDescent="0.25">
      <c r="A1" t="s">
        <v>49</v>
      </c>
    </row>
    <row r="2" spans="1:3" x14ac:dyDescent="0.25">
      <c r="A2">
        <f>_xlfn.AGGREGATE(9,5,A4:B70)</f>
        <v>-3515</v>
      </c>
    </row>
    <row r="3" spans="1:3" x14ac:dyDescent="0.25">
      <c r="A3" t="s">
        <v>3</v>
      </c>
      <c r="B3" t="s">
        <v>4</v>
      </c>
      <c r="C3" t="s">
        <v>5</v>
      </c>
    </row>
    <row r="4" spans="1:3" hidden="1" x14ac:dyDescent="0.25">
      <c r="A4" t="s">
        <v>21</v>
      </c>
      <c r="B4">
        <v>25</v>
      </c>
      <c r="C4">
        <v>117.435</v>
      </c>
    </row>
    <row r="5" spans="1:3" hidden="1" x14ac:dyDescent="0.25">
      <c r="A5" t="s">
        <v>14</v>
      </c>
      <c r="B5">
        <v>2.1749999999999998</v>
      </c>
      <c r="C5">
        <v>117.277</v>
      </c>
    </row>
    <row r="6" spans="1:3" hidden="1" x14ac:dyDescent="0.25">
      <c r="A6" t="s">
        <v>43</v>
      </c>
      <c r="B6">
        <v>-690</v>
      </c>
      <c r="C6">
        <v>117.956</v>
      </c>
    </row>
    <row r="7" spans="1:3" hidden="1" x14ac:dyDescent="0.25">
      <c r="A7" t="s">
        <v>35</v>
      </c>
      <c r="B7">
        <v>-2.34</v>
      </c>
      <c r="C7">
        <v>117.021</v>
      </c>
    </row>
    <row r="8" spans="1:3" hidden="1" x14ac:dyDescent="0.25">
      <c r="A8" t="s">
        <v>41</v>
      </c>
      <c r="B8">
        <v>1.1599999999999999</v>
      </c>
      <c r="C8">
        <v>119.37</v>
      </c>
    </row>
    <row r="9" spans="1:3" hidden="1" x14ac:dyDescent="0.25">
      <c r="A9" t="s">
        <v>12</v>
      </c>
      <c r="B9">
        <v>1.29</v>
      </c>
      <c r="C9">
        <v>117.791</v>
      </c>
    </row>
    <row r="10" spans="1:3" hidden="1" x14ac:dyDescent="0.25">
      <c r="A10" t="s">
        <v>37</v>
      </c>
      <c r="B10">
        <v>-420</v>
      </c>
      <c r="C10">
        <v>117.258</v>
      </c>
    </row>
    <row r="11" spans="1:3" hidden="1" x14ac:dyDescent="0.25">
      <c r="A11" t="s">
        <v>16</v>
      </c>
      <c r="B11">
        <v>5</v>
      </c>
      <c r="C11">
        <v>108.215</v>
      </c>
    </row>
    <row r="12" spans="1:3" x14ac:dyDescent="0.25">
      <c r="A12" t="s">
        <v>17</v>
      </c>
      <c r="B12">
        <v>-575</v>
      </c>
      <c r="C12">
        <v>116.08</v>
      </c>
    </row>
    <row r="13" spans="1:3" hidden="1" x14ac:dyDescent="0.25">
      <c r="A13" t="s">
        <v>9</v>
      </c>
      <c r="B13">
        <v>3.3050000000000002</v>
      </c>
      <c r="C13">
        <v>116.944</v>
      </c>
    </row>
    <row r="14" spans="1:3" x14ac:dyDescent="0.25">
      <c r="A14" t="s">
        <v>33</v>
      </c>
      <c r="B14">
        <v>2635</v>
      </c>
      <c r="C14">
        <v>117.25700000000001</v>
      </c>
    </row>
    <row r="15" spans="1:3" hidden="1" x14ac:dyDescent="0.25">
      <c r="A15" t="s">
        <v>13</v>
      </c>
      <c r="B15">
        <v>200</v>
      </c>
      <c r="C15">
        <v>115.465</v>
      </c>
    </row>
    <row r="16" spans="1:3" hidden="1" x14ac:dyDescent="0.25">
      <c r="A16" t="s">
        <v>32</v>
      </c>
      <c r="B16">
        <v>15</v>
      </c>
      <c r="C16">
        <v>116.855</v>
      </c>
    </row>
    <row r="17" spans="1:3" hidden="1" x14ac:dyDescent="0.25">
      <c r="A17" t="s">
        <v>19</v>
      </c>
      <c r="B17">
        <v>-80</v>
      </c>
      <c r="C17">
        <v>119.57599999999999</v>
      </c>
    </row>
    <row r="18" spans="1:3" hidden="1" x14ac:dyDescent="0.25">
      <c r="A18" t="s">
        <v>40</v>
      </c>
      <c r="B18">
        <v>-1.5049999999999999</v>
      </c>
      <c r="C18">
        <v>117.553</v>
      </c>
    </row>
    <row r="19" spans="1:3" hidden="1" x14ac:dyDescent="0.25">
      <c r="A19" t="s">
        <v>39</v>
      </c>
      <c r="B19">
        <v>430</v>
      </c>
      <c r="C19">
        <v>116.09099999999999</v>
      </c>
    </row>
    <row r="20" spans="1:3" x14ac:dyDescent="0.25">
      <c r="A20" t="s">
        <v>7</v>
      </c>
      <c r="B20">
        <v>1130</v>
      </c>
      <c r="C20">
        <v>117.04</v>
      </c>
    </row>
    <row r="21" spans="1:3" x14ac:dyDescent="0.25">
      <c r="A21" t="s">
        <v>42</v>
      </c>
      <c r="B21">
        <v>-85</v>
      </c>
      <c r="C21">
        <v>115.791</v>
      </c>
    </row>
    <row r="22" spans="1:3" hidden="1" x14ac:dyDescent="0.25">
      <c r="A22" t="s">
        <v>29</v>
      </c>
      <c r="B22">
        <v>-35</v>
      </c>
      <c r="C22">
        <v>118.114</v>
      </c>
    </row>
    <row r="23" spans="1:3" hidden="1" x14ac:dyDescent="0.25">
      <c r="A23" t="s">
        <v>38</v>
      </c>
      <c r="B23">
        <v>130</v>
      </c>
      <c r="C23">
        <v>117.18300000000001</v>
      </c>
    </row>
    <row r="24" spans="1:3" x14ac:dyDescent="0.25">
      <c r="A24" t="s">
        <v>44</v>
      </c>
      <c r="B24">
        <v>1305</v>
      </c>
      <c r="C24">
        <v>117.113</v>
      </c>
    </row>
    <row r="25" spans="1:3" hidden="1" x14ac:dyDescent="0.25">
      <c r="A25" t="s">
        <v>20</v>
      </c>
      <c r="B25">
        <v>-990</v>
      </c>
      <c r="C25">
        <v>117.407</v>
      </c>
    </row>
    <row r="26" spans="1:3" hidden="1" x14ac:dyDescent="0.25">
      <c r="A26" t="s">
        <v>36</v>
      </c>
      <c r="B26">
        <v>120</v>
      </c>
      <c r="C26">
        <v>115.73399999999999</v>
      </c>
    </row>
    <row r="27" spans="1:3" hidden="1" x14ac:dyDescent="0.25">
      <c r="A27" t="s">
        <v>31</v>
      </c>
      <c r="B27">
        <v>30</v>
      </c>
      <c r="C27">
        <v>116.378</v>
      </c>
    </row>
    <row r="28" spans="1:3" hidden="1" x14ac:dyDescent="0.25">
      <c r="A28" t="s">
        <v>26</v>
      </c>
      <c r="B28">
        <v>-5</v>
      </c>
      <c r="C28">
        <v>117.4</v>
      </c>
    </row>
    <row r="29" spans="1:3" hidden="1" x14ac:dyDescent="0.25">
      <c r="A29" t="s">
        <v>46</v>
      </c>
      <c r="B29">
        <v>2.5449999999999999</v>
      </c>
      <c r="C29">
        <v>117.017</v>
      </c>
    </row>
    <row r="30" spans="1:3" hidden="1" x14ac:dyDescent="0.25">
      <c r="A30" t="s">
        <v>18</v>
      </c>
      <c r="B30">
        <v>-10</v>
      </c>
      <c r="C30">
        <v>122.098</v>
      </c>
    </row>
    <row r="31" spans="1:3" hidden="1" x14ac:dyDescent="0.25">
      <c r="A31" t="s">
        <v>11</v>
      </c>
      <c r="B31">
        <v>905</v>
      </c>
      <c r="C31">
        <v>116.94499999999999</v>
      </c>
    </row>
    <row r="32" spans="1:3" hidden="1" x14ac:dyDescent="0.25">
      <c r="A32" t="s">
        <v>30</v>
      </c>
      <c r="B32">
        <v>10</v>
      </c>
      <c r="C32">
        <v>115.18300000000001</v>
      </c>
    </row>
    <row r="33" spans="1:3" hidden="1" x14ac:dyDescent="0.25">
      <c r="A33" t="s">
        <v>15</v>
      </c>
      <c r="B33">
        <v>-20</v>
      </c>
      <c r="C33">
        <v>129.16900000000001</v>
      </c>
    </row>
    <row r="34" spans="1:3" x14ac:dyDescent="0.25">
      <c r="A34" t="s">
        <v>28</v>
      </c>
      <c r="B34">
        <v>-6235</v>
      </c>
      <c r="C34">
        <v>116.952</v>
      </c>
    </row>
    <row r="35" spans="1:3" x14ac:dyDescent="0.25">
      <c r="A35" t="s">
        <v>8</v>
      </c>
      <c r="B35">
        <v>-1690</v>
      </c>
      <c r="C35">
        <v>117.039</v>
      </c>
    </row>
    <row r="36" spans="1:3" hidden="1" x14ac:dyDescent="0.25">
      <c r="A36" t="s">
        <v>6</v>
      </c>
      <c r="B36">
        <v>-2.7349999999999999</v>
      </c>
      <c r="C36">
        <v>117.88800000000001</v>
      </c>
    </row>
  </sheetData>
  <autoFilter ref="A3:C36" xr:uid="{50448D81-6885-490B-BB11-69894AC0D94D}">
    <filterColumn colId="0">
      <filters>
        <filter val="Credit"/>
        <filter val="Goldman"/>
        <filter val="JP Morgan"/>
        <filter val="Merrill"/>
        <filter val="Morgan"/>
        <filter val="Tullett"/>
        <filter val="UBS"/>
      </filters>
    </filterColumn>
  </autoFilter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BAF760-B9CE-48BD-BBA4-0045F7DE8737}">
  <sheetPr codeName="Planilha35" filterMode="1"/>
  <dimension ref="A1:C44"/>
  <sheetViews>
    <sheetView workbookViewId="0">
      <selection activeCell="E29" sqref="E29"/>
    </sheetView>
  </sheetViews>
  <sheetFormatPr defaultRowHeight="15" x14ac:dyDescent="0.25"/>
  <sheetData>
    <row r="1" spans="1:3" x14ac:dyDescent="0.25">
      <c r="A1" t="s">
        <v>49</v>
      </c>
    </row>
    <row r="2" spans="1:3" x14ac:dyDescent="0.25">
      <c r="A2">
        <f>_xlfn.AGGREGATE(9,5,A4:B70)</f>
        <v>26125</v>
      </c>
    </row>
    <row r="3" spans="1:3" x14ac:dyDescent="0.25">
      <c r="A3" t="s">
        <v>3</v>
      </c>
      <c r="B3" t="s">
        <v>4</v>
      </c>
      <c r="C3" t="s">
        <v>5</v>
      </c>
    </row>
    <row r="4" spans="1:3" hidden="1" x14ac:dyDescent="0.25">
      <c r="A4" t="s">
        <v>21</v>
      </c>
      <c r="B4">
        <v>-150</v>
      </c>
      <c r="C4">
        <v>117.18</v>
      </c>
    </row>
    <row r="5" spans="1:3" hidden="1" x14ac:dyDescent="0.25">
      <c r="A5" t="s">
        <v>14</v>
      </c>
      <c r="B5">
        <v>4.6239999999999997</v>
      </c>
      <c r="C5">
        <v>117.06399999999999</v>
      </c>
    </row>
    <row r="6" spans="1:3" hidden="1" x14ac:dyDescent="0.25">
      <c r="A6" t="s">
        <v>43</v>
      </c>
      <c r="B6">
        <v>-13.73</v>
      </c>
      <c r="C6">
        <v>117.224</v>
      </c>
    </row>
    <row r="7" spans="1:3" hidden="1" x14ac:dyDescent="0.25">
      <c r="A7" t="s">
        <v>35</v>
      </c>
      <c r="B7">
        <v>1.004</v>
      </c>
      <c r="C7">
        <v>117.045</v>
      </c>
    </row>
    <row r="8" spans="1:3" hidden="1" x14ac:dyDescent="0.25">
      <c r="A8" t="s">
        <v>41</v>
      </c>
      <c r="B8">
        <v>-32.048000000000002</v>
      </c>
      <c r="C8">
        <v>117.027</v>
      </c>
    </row>
    <row r="9" spans="1:3" hidden="1" x14ac:dyDescent="0.25">
      <c r="A9" t="s">
        <v>12</v>
      </c>
      <c r="B9">
        <v>-2.4860000000000002</v>
      </c>
      <c r="C9">
        <v>116.935</v>
      </c>
    </row>
    <row r="10" spans="1:3" hidden="1" x14ac:dyDescent="0.25">
      <c r="A10" t="s">
        <v>37</v>
      </c>
      <c r="B10">
        <v>-7.83</v>
      </c>
      <c r="C10">
        <v>117.13200000000001</v>
      </c>
    </row>
    <row r="11" spans="1:3" hidden="1" x14ac:dyDescent="0.25">
      <c r="A11" t="s">
        <v>16</v>
      </c>
      <c r="B11">
        <v>-1.7290000000000001</v>
      </c>
      <c r="C11">
        <v>117.044</v>
      </c>
    </row>
    <row r="12" spans="1:3" x14ac:dyDescent="0.25">
      <c r="A12" t="s">
        <v>17</v>
      </c>
      <c r="B12">
        <v>-185</v>
      </c>
      <c r="C12">
        <v>117.077</v>
      </c>
    </row>
    <row r="13" spans="1:3" hidden="1" x14ac:dyDescent="0.25">
      <c r="A13" t="s">
        <v>34</v>
      </c>
      <c r="B13">
        <v>5.101</v>
      </c>
      <c r="C13">
        <v>117.101</v>
      </c>
    </row>
    <row r="14" spans="1:3" hidden="1" x14ac:dyDescent="0.25">
      <c r="A14" t="s">
        <v>23</v>
      </c>
      <c r="B14">
        <v>7.976</v>
      </c>
      <c r="C14">
        <v>116.908</v>
      </c>
    </row>
    <row r="15" spans="1:3" hidden="1" x14ac:dyDescent="0.25">
      <c r="A15" t="s">
        <v>22</v>
      </c>
      <c r="B15">
        <v>1</v>
      </c>
      <c r="C15">
        <v>116.93300000000001</v>
      </c>
    </row>
    <row r="16" spans="1:3" hidden="1" x14ac:dyDescent="0.25">
      <c r="A16" t="s">
        <v>9</v>
      </c>
      <c r="B16">
        <v>9.9960000000000004</v>
      </c>
      <c r="C16">
        <v>117.051</v>
      </c>
    </row>
    <row r="17" spans="1:3" x14ac:dyDescent="0.25">
      <c r="A17" t="s">
        <v>33</v>
      </c>
      <c r="B17">
        <v>-3783</v>
      </c>
      <c r="C17">
        <v>117.08</v>
      </c>
    </row>
    <row r="18" spans="1:3" hidden="1" x14ac:dyDescent="0.25">
      <c r="A18" t="s">
        <v>13</v>
      </c>
      <c r="B18">
        <v>-8.1679999999999993</v>
      </c>
      <c r="C18">
        <v>117.116</v>
      </c>
    </row>
    <row r="19" spans="1:3" hidden="1" x14ac:dyDescent="0.25">
      <c r="A19" t="s">
        <v>32</v>
      </c>
      <c r="B19">
        <v>-25</v>
      </c>
      <c r="C19">
        <v>117.04</v>
      </c>
    </row>
    <row r="20" spans="1:3" hidden="1" x14ac:dyDescent="0.25">
      <c r="A20" t="s">
        <v>19</v>
      </c>
      <c r="B20">
        <v>105</v>
      </c>
      <c r="C20">
        <v>116.943</v>
      </c>
    </row>
    <row r="21" spans="1:3" hidden="1" x14ac:dyDescent="0.25">
      <c r="A21" t="s">
        <v>40</v>
      </c>
      <c r="B21">
        <v>13.47</v>
      </c>
      <c r="C21">
        <v>117.053</v>
      </c>
    </row>
    <row r="22" spans="1:3" hidden="1" x14ac:dyDescent="0.25">
      <c r="A22" t="s">
        <v>27</v>
      </c>
      <c r="B22">
        <v>-155</v>
      </c>
      <c r="C22">
        <v>116.88</v>
      </c>
    </row>
    <row r="23" spans="1:3" hidden="1" x14ac:dyDescent="0.25">
      <c r="A23" t="s">
        <v>25</v>
      </c>
      <c r="B23">
        <v>1.998</v>
      </c>
      <c r="C23">
        <v>116.755</v>
      </c>
    </row>
    <row r="24" spans="1:3" hidden="1" x14ac:dyDescent="0.25">
      <c r="A24" t="s">
        <v>39</v>
      </c>
      <c r="B24">
        <v>-11.849</v>
      </c>
      <c r="C24">
        <v>116.9</v>
      </c>
    </row>
    <row r="25" spans="1:3" x14ac:dyDescent="0.25">
      <c r="A25" t="s">
        <v>7</v>
      </c>
      <c r="B25">
        <v>-102</v>
      </c>
      <c r="C25">
        <v>117.102</v>
      </c>
    </row>
    <row r="26" spans="1:3" x14ac:dyDescent="0.25">
      <c r="A26" t="s">
        <v>42</v>
      </c>
      <c r="B26">
        <v>7595</v>
      </c>
      <c r="C26">
        <v>116.85299999999999</v>
      </c>
    </row>
    <row r="27" spans="1:3" hidden="1" x14ac:dyDescent="0.25">
      <c r="A27" t="s">
        <v>29</v>
      </c>
      <c r="B27">
        <v>-33</v>
      </c>
      <c r="C27">
        <v>117.024</v>
      </c>
    </row>
    <row r="28" spans="1:3" hidden="1" x14ac:dyDescent="0.25">
      <c r="A28" t="s">
        <v>38</v>
      </c>
      <c r="B28">
        <v>382</v>
      </c>
      <c r="C28">
        <v>117.072</v>
      </c>
    </row>
    <row r="29" spans="1:3" x14ac:dyDescent="0.25">
      <c r="A29" t="s">
        <v>44</v>
      </c>
      <c r="B29">
        <v>28631</v>
      </c>
      <c r="C29">
        <v>116.95699999999999</v>
      </c>
    </row>
    <row r="30" spans="1:3" hidden="1" x14ac:dyDescent="0.25">
      <c r="A30" t="s">
        <v>20</v>
      </c>
      <c r="B30">
        <v>-901</v>
      </c>
      <c r="C30">
        <v>117.057</v>
      </c>
    </row>
    <row r="31" spans="1:3" hidden="1" x14ac:dyDescent="0.25">
      <c r="A31" t="s">
        <v>36</v>
      </c>
      <c r="B31">
        <v>1.7350000000000001</v>
      </c>
      <c r="C31">
        <v>117.128</v>
      </c>
    </row>
    <row r="32" spans="1:3" hidden="1" x14ac:dyDescent="0.25">
      <c r="A32" t="s">
        <v>31</v>
      </c>
      <c r="B32">
        <v>359</v>
      </c>
      <c r="C32">
        <v>117.214</v>
      </c>
    </row>
    <row r="33" spans="1:3" hidden="1" x14ac:dyDescent="0.25">
      <c r="A33" t="s">
        <v>26</v>
      </c>
      <c r="B33">
        <v>104</v>
      </c>
      <c r="C33">
        <v>116.87</v>
      </c>
    </row>
    <row r="34" spans="1:3" hidden="1" x14ac:dyDescent="0.25">
      <c r="A34" t="s">
        <v>46</v>
      </c>
      <c r="B34">
        <v>-964</v>
      </c>
      <c r="C34">
        <v>116.80200000000001</v>
      </c>
    </row>
    <row r="35" spans="1:3" hidden="1" x14ac:dyDescent="0.25">
      <c r="A35" t="s">
        <v>18</v>
      </c>
      <c r="B35">
        <v>124</v>
      </c>
      <c r="C35">
        <v>117.04900000000001</v>
      </c>
    </row>
    <row r="36" spans="1:3" hidden="1" x14ac:dyDescent="0.25">
      <c r="A36" t="s">
        <v>24</v>
      </c>
      <c r="B36">
        <v>1.496</v>
      </c>
      <c r="C36">
        <v>118</v>
      </c>
    </row>
    <row r="37" spans="1:3" hidden="1" x14ac:dyDescent="0.25">
      <c r="A37" t="s">
        <v>11</v>
      </c>
      <c r="B37">
        <v>578</v>
      </c>
      <c r="C37">
        <v>117.39400000000001</v>
      </c>
    </row>
    <row r="38" spans="1:3" hidden="1" x14ac:dyDescent="0.25">
      <c r="A38" t="s">
        <v>30</v>
      </c>
      <c r="B38">
        <v>-19</v>
      </c>
      <c r="C38">
        <v>117.17</v>
      </c>
    </row>
    <row r="39" spans="1:3" hidden="1" x14ac:dyDescent="0.25">
      <c r="A39" t="s">
        <v>15</v>
      </c>
      <c r="B39">
        <v>-1.6819999999999999</v>
      </c>
      <c r="C39">
        <v>117.379</v>
      </c>
    </row>
    <row r="40" spans="1:3" hidden="1" x14ac:dyDescent="0.25">
      <c r="A40" t="s">
        <v>10</v>
      </c>
      <c r="B40">
        <v>8.8040000000000003</v>
      </c>
      <c r="C40">
        <v>117.05</v>
      </c>
    </row>
    <row r="41" spans="1:3" x14ac:dyDescent="0.25">
      <c r="A41" t="s">
        <v>28</v>
      </c>
      <c r="B41">
        <v>-2426</v>
      </c>
      <c r="C41">
        <v>117.02200000000001</v>
      </c>
    </row>
    <row r="42" spans="1:3" x14ac:dyDescent="0.25">
      <c r="A42" t="s">
        <v>8</v>
      </c>
      <c r="B42">
        <v>-3605</v>
      </c>
      <c r="C42">
        <v>117.03400000000001</v>
      </c>
    </row>
    <row r="43" spans="1:3" hidden="1" x14ac:dyDescent="0.25">
      <c r="A43" t="s">
        <v>45</v>
      </c>
      <c r="B43">
        <v>-287</v>
      </c>
      <c r="C43">
        <v>117.124</v>
      </c>
    </row>
    <row r="44" spans="1:3" hidden="1" x14ac:dyDescent="0.25">
      <c r="A44" t="s">
        <v>6</v>
      </c>
      <c r="B44">
        <v>-1.9259999999999999</v>
      </c>
      <c r="C44">
        <v>117.047</v>
      </c>
    </row>
  </sheetData>
  <autoFilter ref="A3:C44" xr:uid="{1BBAF760-B9CE-48BD-BBA4-0045F7DE8737}">
    <filterColumn colId="0">
      <filters>
        <filter val="Credit"/>
        <filter val="Goldman"/>
        <filter val="JP Morgan"/>
        <filter val="Merrill"/>
        <filter val="Morgan"/>
        <filter val="Tullett"/>
        <filter val="UBS"/>
      </filters>
    </filterColumn>
  </autoFilter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45CEF-5DFE-4412-99A1-DFAE9872A6C1}">
  <sheetPr codeName="Planilha36" filterMode="1"/>
  <dimension ref="A1:C38"/>
  <sheetViews>
    <sheetView workbookViewId="0">
      <selection activeCell="B39" sqref="B39"/>
    </sheetView>
  </sheetViews>
  <sheetFormatPr defaultRowHeight="15" x14ac:dyDescent="0.25"/>
  <sheetData>
    <row r="1" spans="1:3" x14ac:dyDescent="0.25">
      <c r="A1" t="s">
        <v>49</v>
      </c>
    </row>
    <row r="2" spans="1:3" x14ac:dyDescent="0.25">
      <c r="A2">
        <f>_xlfn.AGGREGATE(9,5,A4:B70)</f>
        <v>10010</v>
      </c>
    </row>
    <row r="3" spans="1:3" x14ac:dyDescent="0.25">
      <c r="A3" t="s">
        <v>3</v>
      </c>
      <c r="B3" t="s">
        <v>4</v>
      </c>
      <c r="C3" t="s">
        <v>5</v>
      </c>
    </row>
    <row r="4" spans="1:3" hidden="1" x14ac:dyDescent="0.25">
      <c r="A4" t="s">
        <v>21</v>
      </c>
      <c r="B4">
        <v>-25</v>
      </c>
      <c r="C4">
        <v>119.69</v>
      </c>
    </row>
    <row r="5" spans="1:3" hidden="1" x14ac:dyDescent="0.25">
      <c r="A5" t="s">
        <v>14</v>
      </c>
      <c r="B5">
        <v>555</v>
      </c>
      <c r="C5">
        <v>118.843</v>
      </c>
    </row>
    <row r="6" spans="1:3" hidden="1" x14ac:dyDescent="0.25">
      <c r="A6" t="s">
        <v>43</v>
      </c>
      <c r="B6">
        <v>-100</v>
      </c>
      <c r="C6">
        <v>107.797</v>
      </c>
    </row>
    <row r="7" spans="1:3" hidden="1" x14ac:dyDescent="0.25">
      <c r="A7" t="s">
        <v>35</v>
      </c>
      <c r="B7">
        <v>90</v>
      </c>
      <c r="C7">
        <v>99.350999999999999</v>
      </c>
    </row>
    <row r="8" spans="1:3" hidden="1" x14ac:dyDescent="0.25">
      <c r="A8" t="s">
        <v>41</v>
      </c>
      <c r="B8">
        <v>-3.3</v>
      </c>
      <c r="C8">
        <v>118.554</v>
      </c>
    </row>
    <row r="9" spans="1:3" hidden="1" x14ac:dyDescent="0.25">
      <c r="A9" t="s">
        <v>12</v>
      </c>
      <c r="B9">
        <v>105</v>
      </c>
      <c r="C9">
        <v>118.572</v>
      </c>
    </row>
    <row r="10" spans="1:3" hidden="1" x14ac:dyDescent="0.25">
      <c r="A10" t="s">
        <v>37</v>
      </c>
      <c r="B10">
        <v>-200</v>
      </c>
      <c r="C10">
        <v>115.208</v>
      </c>
    </row>
    <row r="11" spans="1:3" hidden="1" x14ac:dyDescent="0.25">
      <c r="A11" t="s">
        <v>16</v>
      </c>
      <c r="B11">
        <v>5</v>
      </c>
      <c r="C11">
        <v>119.02500000000001</v>
      </c>
    </row>
    <row r="12" spans="1:3" x14ac:dyDescent="0.25">
      <c r="A12" t="s">
        <v>17</v>
      </c>
      <c r="B12">
        <v>-435</v>
      </c>
      <c r="C12">
        <v>116.81100000000001</v>
      </c>
    </row>
    <row r="13" spans="1:3" hidden="1" x14ac:dyDescent="0.25">
      <c r="A13" t="s">
        <v>34</v>
      </c>
      <c r="B13">
        <v>10</v>
      </c>
      <c r="C13">
        <v>117.718</v>
      </c>
    </row>
    <row r="14" spans="1:3" hidden="1" x14ac:dyDescent="0.25">
      <c r="A14" t="s">
        <v>9</v>
      </c>
      <c r="B14">
        <v>-270</v>
      </c>
      <c r="C14">
        <v>119.339</v>
      </c>
    </row>
    <row r="15" spans="1:3" x14ac:dyDescent="0.25">
      <c r="A15" t="s">
        <v>33</v>
      </c>
      <c r="B15">
        <v>145</v>
      </c>
      <c r="C15">
        <v>118.179</v>
      </c>
    </row>
    <row r="16" spans="1:3" hidden="1" x14ac:dyDescent="0.25">
      <c r="A16" t="s">
        <v>13</v>
      </c>
      <c r="B16">
        <v>-40</v>
      </c>
      <c r="C16">
        <v>109.29900000000001</v>
      </c>
    </row>
    <row r="17" spans="1:3" hidden="1" x14ac:dyDescent="0.25">
      <c r="A17" t="s">
        <v>19</v>
      </c>
      <c r="B17">
        <v>-5</v>
      </c>
      <c r="C17">
        <v>157.05500000000001</v>
      </c>
    </row>
    <row r="18" spans="1:3" hidden="1" x14ac:dyDescent="0.25">
      <c r="A18" t="s">
        <v>40</v>
      </c>
      <c r="B18">
        <v>-2.27</v>
      </c>
      <c r="C18">
        <v>119.298</v>
      </c>
    </row>
    <row r="19" spans="1:3" hidden="1" x14ac:dyDescent="0.25">
      <c r="A19" t="s">
        <v>25</v>
      </c>
      <c r="B19">
        <v>-90</v>
      </c>
      <c r="C19">
        <v>117.621</v>
      </c>
    </row>
    <row r="20" spans="1:3" hidden="1" x14ac:dyDescent="0.25">
      <c r="A20" t="s">
        <v>39</v>
      </c>
      <c r="B20">
        <v>1.51</v>
      </c>
      <c r="C20">
        <v>118.072</v>
      </c>
    </row>
    <row r="21" spans="1:3" x14ac:dyDescent="0.25">
      <c r="A21" t="s">
        <v>7</v>
      </c>
      <c r="B21">
        <v>1185</v>
      </c>
      <c r="C21">
        <v>118.11799999999999</v>
      </c>
    </row>
    <row r="22" spans="1:3" x14ac:dyDescent="0.25">
      <c r="A22" t="s">
        <v>42</v>
      </c>
      <c r="B22">
        <v>835</v>
      </c>
      <c r="C22">
        <v>118.39700000000001</v>
      </c>
    </row>
    <row r="23" spans="1:3" hidden="1" x14ac:dyDescent="0.25">
      <c r="A23" t="s">
        <v>38</v>
      </c>
      <c r="B23">
        <v>90</v>
      </c>
      <c r="C23">
        <v>116.069</v>
      </c>
    </row>
    <row r="24" spans="1:3" x14ac:dyDescent="0.25">
      <c r="A24" t="s">
        <v>44</v>
      </c>
      <c r="B24">
        <v>1010</v>
      </c>
      <c r="C24">
        <v>118.73099999999999</v>
      </c>
    </row>
    <row r="25" spans="1:3" hidden="1" x14ac:dyDescent="0.25">
      <c r="A25" t="s">
        <v>20</v>
      </c>
      <c r="B25">
        <v>-1.2549999999999999</v>
      </c>
      <c r="C25">
        <v>116.75</v>
      </c>
    </row>
    <row r="26" spans="1:3" hidden="1" x14ac:dyDescent="0.25">
      <c r="A26" t="s">
        <v>36</v>
      </c>
      <c r="B26">
        <v>-525</v>
      </c>
      <c r="C26">
        <v>116.203</v>
      </c>
    </row>
    <row r="27" spans="1:3" hidden="1" x14ac:dyDescent="0.25">
      <c r="A27" t="s">
        <v>31</v>
      </c>
      <c r="B27">
        <v>-5</v>
      </c>
      <c r="C27">
        <v>98.91</v>
      </c>
    </row>
    <row r="28" spans="1:3" hidden="1" x14ac:dyDescent="0.25">
      <c r="A28" t="s">
        <v>26</v>
      </c>
      <c r="B28">
        <v>85</v>
      </c>
      <c r="C28">
        <v>119.084</v>
      </c>
    </row>
    <row r="29" spans="1:3" hidden="1" x14ac:dyDescent="0.25">
      <c r="A29" t="s">
        <v>46</v>
      </c>
      <c r="B29">
        <v>135</v>
      </c>
      <c r="C29">
        <v>117.14100000000001</v>
      </c>
    </row>
    <row r="30" spans="1:3" hidden="1" x14ac:dyDescent="0.25">
      <c r="A30" t="s">
        <v>18</v>
      </c>
      <c r="B30">
        <v>30</v>
      </c>
      <c r="C30">
        <v>121.675</v>
      </c>
    </row>
    <row r="31" spans="1:3" hidden="1" x14ac:dyDescent="0.25">
      <c r="A31" t="s">
        <v>24</v>
      </c>
      <c r="B31">
        <v>5</v>
      </c>
      <c r="C31">
        <v>116.215</v>
      </c>
    </row>
    <row r="32" spans="1:3" hidden="1" x14ac:dyDescent="0.25">
      <c r="A32" t="s">
        <v>11</v>
      </c>
      <c r="B32">
        <v>-795</v>
      </c>
      <c r="C32">
        <v>117.169</v>
      </c>
    </row>
    <row r="33" spans="1:3" hidden="1" x14ac:dyDescent="0.25">
      <c r="A33" t="s">
        <v>30</v>
      </c>
      <c r="B33">
        <v>30</v>
      </c>
      <c r="C33">
        <v>117.486</v>
      </c>
    </row>
    <row r="34" spans="1:3" hidden="1" x14ac:dyDescent="0.25">
      <c r="A34" t="s">
        <v>15</v>
      </c>
      <c r="B34">
        <v>440</v>
      </c>
      <c r="C34">
        <v>117.767</v>
      </c>
    </row>
    <row r="35" spans="1:3" x14ac:dyDescent="0.25">
      <c r="A35" t="s">
        <v>28</v>
      </c>
      <c r="B35">
        <v>4210</v>
      </c>
      <c r="C35">
        <v>117.982</v>
      </c>
    </row>
    <row r="36" spans="1:3" x14ac:dyDescent="0.25">
      <c r="A36" t="s">
        <v>8</v>
      </c>
      <c r="B36">
        <v>3060</v>
      </c>
      <c r="C36">
        <v>117.80800000000001</v>
      </c>
    </row>
    <row r="37" spans="1:3" hidden="1" x14ac:dyDescent="0.25">
      <c r="A37" t="s">
        <v>179</v>
      </c>
      <c r="B37">
        <v>-35</v>
      </c>
      <c r="C37">
        <v>117.068</v>
      </c>
    </row>
    <row r="38" spans="1:3" hidden="1" x14ac:dyDescent="0.25">
      <c r="A38" t="s">
        <v>6</v>
      </c>
      <c r="B38">
        <v>-4.1849999999999996</v>
      </c>
      <c r="C38">
        <v>117.929</v>
      </c>
    </row>
  </sheetData>
  <autoFilter ref="A3:C38" xr:uid="{76445CEF-5DFE-4412-99A1-DFAE9872A6C1}">
    <filterColumn colId="0">
      <filters>
        <filter val="Credit"/>
        <filter val="Goldman"/>
        <filter val="JP Morgan"/>
        <filter val="Merrill"/>
        <filter val="Morgan"/>
        <filter val="Tullett"/>
        <filter val="UBS"/>
      </filters>
    </filterColumn>
  </autoFilter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0FA24-4412-4BDE-AE1A-98A89BB9F629}">
  <sheetPr codeName="Planilha37" filterMode="1"/>
  <dimension ref="A1:C45"/>
  <sheetViews>
    <sheetView workbookViewId="0">
      <selection activeCell="B46" sqref="B46"/>
    </sheetView>
  </sheetViews>
  <sheetFormatPr defaultRowHeight="15" x14ac:dyDescent="0.25"/>
  <sheetData>
    <row r="1" spans="1:3" x14ac:dyDescent="0.25">
      <c r="A1" t="s">
        <v>49</v>
      </c>
    </row>
    <row r="2" spans="1:3" x14ac:dyDescent="0.25">
      <c r="A2">
        <f>_xlfn.AGGREGATE(9,5,A4:B70)</f>
        <v>-23138</v>
      </c>
    </row>
    <row r="3" spans="1:3" x14ac:dyDescent="0.25">
      <c r="A3" t="s">
        <v>3</v>
      </c>
      <c r="B3" t="s">
        <v>4</v>
      </c>
      <c r="C3" t="s">
        <v>5</v>
      </c>
    </row>
    <row r="4" spans="1:3" hidden="1" x14ac:dyDescent="0.25">
      <c r="A4" t="s">
        <v>6</v>
      </c>
      <c r="B4">
        <v>28.734000000000002</v>
      </c>
      <c r="C4">
        <v>118.351</v>
      </c>
    </row>
    <row r="5" spans="1:3" x14ac:dyDescent="0.25">
      <c r="A5" t="s">
        <v>44</v>
      </c>
      <c r="B5">
        <v>22526</v>
      </c>
      <c r="C5">
        <v>118.3</v>
      </c>
    </row>
    <row r="6" spans="1:3" hidden="1" x14ac:dyDescent="0.25">
      <c r="A6" t="s">
        <v>9</v>
      </c>
      <c r="B6">
        <v>19.515000000000001</v>
      </c>
      <c r="C6">
        <v>118.355</v>
      </c>
    </row>
    <row r="7" spans="1:3" hidden="1" x14ac:dyDescent="0.25">
      <c r="A7" t="s">
        <v>37</v>
      </c>
      <c r="B7">
        <v>8.6509999999999998</v>
      </c>
      <c r="C7">
        <v>118.40600000000001</v>
      </c>
    </row>
    <row r="8" spans="1:3" x14ac:dyDescent="0.25">
      <c r="A8" t="s">
        <v>28</v>
      </c>
      <c r="B8">
        <v>7996</v>
      </c>
      <c r="C8">
        <v>118.33499999999999</v>
      </c>
    </row>
    <row r="9" spans="1:3" hidden="1" x14ac:dyDescent="0.25">
      <c r="A9" t="s">
        <v>40</v>
      </c>
      <c r="B9">
        <v>6.8630000000000004</v>
      </c>
      <c r="C9">
        <v>118.364</v>
      </c>
    </row>
    <row r="10" spans="1:3" hidden="1" x14ac:dyDescent="0.25">
      <c r="A10" t="s">
        <v>25</v>
      </c>
      <c r="B10">
        <v>6.383</v>
      </c>
      <c r="C10">
        <v>118.304</v>
      </c>
    </row>
    <row r="11" spans="1:3" hidden="1" x14ac:dyDescent="0.25">
      <c r="A11" t="s">
        <v>35</v>
      </c>
      <c r="B11">
        <v>6.12</v>
      </c>
      <c r="C11">
        <v>118.40600000000001</v>
      </c>
    </row>
    <row r="12" spans="1:3" hidden="1" x14ac:dyDescent="0.25">
      <c r="A12" t="s">
        <v>10</v>
      </c>
      <c r="B12">
        <v>5.6760000000000002</v>
      </c>
      <c r="C12">
        <v>118.488</v>
      </c>
    </row>
    <row r="13" spans="1:3" hidden="1" x14ac:dyDescent="0.25">
      <c r="A13" t="s">
        <v>15</v>
      </c>
      <c r="B13">
        <v>4.508</v>
      </c>
      <c r="C13">
        <v>118.629</v>
      </c>
    </row>
    <row r="14" spans="1:3" hidden="1" x14ac:dyDescent="0.25">
      <c r="A14" t="s">
        <v>12</v>
      </c>
      <c r="B14">
        <v>3.7189999999999999</v>
      </c>
      <c r="C14">
        <v>118.357</v>
      </c>
    </row>
    <row r="15" spans="1:3" x14ac:dyDescent="0.25">
      <c r="A15" t="s">
        <v>42</v>
      </c>
      <c r="B15">
        <v>3645</v>
      </c>
      <c r="C15">
        <v>118.622</v>
      </c>
    </row>
    <row r="16" spans="1:3" hidden="1" x14ac:dyDescent="0.25">
      <c r="A16" t="s">
        <v>16</v>
      </c>
      <c r="B16">
        <v>3.1850000000000001</v>
      </c>
      <c r="C16">
        <v>118.372</v>
      </c>
    </row>
    <row r="17" spans="1:3" hidden="1" x14ac:dyDescent="0.25">
      <c r="A17" t="s">
        <v>11</v>
      </c>
      <c r="B17">
        <v>2.7290000000000001</v>
      </c>
      <c r="C17">
        <v>118.452</v>
      </c>
    </row>
    <row r="18" spans="1:3" hidden="1" x14ac:dyDescent="0.25">
      <c r="A18" t="s">
        <v>18</v>
      </c>
      <c r="B18">
        <v>1.093</v>
      </c>
      <c r="C18">
        <v>118.389</v>
      </c>
    </row>
    <row r="19" spans="1:3" hidden="1" x14ac:dyDescent="0.25">
      <c r="A19" t="s">
        <v>13</v>
      </c>
      <c r="B19">
        <v>1.0740000000000001</v>
      </c>
      <c r="C19">
        <v>118.322</v>
      </c>
    </row>
    <row r="20" spans="1:3" hidden="1" x14ac:dyDescent="0.25">
      <c r="A20" t="s">
        <v>24</v>
      </c>
      <c r="B20">
        <v>1.0429999999999999</v>
      </c>
      <c r="C20">
        <v>118.541</v>
      </c>
    </row>
    <row r="21" spans="1:3" hidden="1" x14ac:dyDescent="0.25">
      <c r="A21" t="s">
        <v>38</v>
      </c>
      <c r="B21">
        <v>578</v>
      </c>
      <c r="C21">
        <v>118.422</v>
      </c>
    </row>
    <row r="22" spans="1:3" hidden="1" x14ac:dyDescent="0.25">
      <c r="A22" t="s">
        <v>26</v>
      </c>
      <c r="B22">
        <v>524</v>
      </c>
      <c r="C22">
        <v>118.081</v>
      </c>
    </row>
    <row r="23" spans="1:3" hidden="1" x14ac:dyDescent="0.25">
      <c r="A23" t="s">
        <v>21</v>
      </c>
      <c r="B23">
        <v>473</v>
      </c>
      <c r="C23">
        <v>118.363</v>
      </c>
    </row>
    <row r="24" spans="1:3" hidden="1" x14ac:dyDescent="0.25">
      <c r="A24" t="s">
        <v>31</v>
      </c>
      <c r="B24">
        <v>334</v>
      </c>
      <c r="C24">
        <v>118.41200000000001</v>
      </c>
    </row>
    <row r="25" spans="1:3" hidden="1" x14ac:dyDescent="0.25">
      <c r="A25" t="s">
        <v>45</v>
      </c>
      <c r="B25">
        <v>278</v>
      </c>
      <c r="C25">
        <v>118.081</v>
      </c>
    </row>
    <row r="26" spans="1:3" hidden="1" x14ac:dyDescent="0.25">
      <c r="A26" t="s">
        <v>32</v>
      </c>
      <c r="B26">
        <v>123</v>
      </c>
      <c r="C26">
        <v>118.315</v>
      </c>
    </row>
    <row r="27" spans="1:3" hidden="1" x14ac:dyDescent="0.25">
      <c r="A27" t="s">
        <v>22</v>
      </c>
      <c r="B27">
        <v>105</v>
      </c>
      <c r="C27">
        <v>118.563</v>
      </c>
    </row>
    <row r="28" spans="1:3" hidden="1" x14ac:dyDescent="0.25">
      <c r="A28" t="s">
        <v>19</v>
      </c>
      <c r="B28">
        <v>80</v>
      </c>
      <c r="C28">
        <v>118.249</v>
      </c>
    </row>
    <row r="29" spans="1:3" hidden="1" x14ac:dyDescent="0.25">
      <c r="A29" t="s">
        <v>30</v>
      </c>
      <c r="B29">
        <v>8</v>
      </c>
      <c r="C29">
        <v>118.648</v>
      </c>
    </row>
    <row r="30" spans="1:3" hidden="1" x14ac:dyDescent="0.25">
      <c r="A30" t="s">
        <v>47</v>
      </c>
      <c r="B30">
        <v>-7</v>
      </c>
      <c r="C30">
        <v>117.83199999999999</v>
      </c>
    </row>
    <row r="31" spans="1:3" hidden="1" x14ac:dyDescent="0.25">
      <c r="A31" t="s">
        <v>34</v>
      </c>
      <c r="B31">
        <v>-28</v>
      </c>
      <c r="C31">
        <v>118.396</v>
      </c>
    </row>
    <row r="32" spans="1:3" hidden="1" x14ac:dyDescent="0.25">
      <c r="A32" t="s">
        <v>46</v>
      </c>
      <c r="B32">
        <v>-16</v>
      </c>
      <c r="C32">
        <v>117.864</v>
      </c>
    </row>
    <row r="33" spans="1:3" hidden="1" x14ac:dyDescent="0.25">
      <c r="A33" t="s">
        <v>27</v>
      </c>
      <c r="B33">
        <v>-58</v>
      </c>
      <c r="C33">
        <v>118.488</v>
      </c>
    </row>
    <row r="34" spans="1:3" hidden="1" x14ac:dyDescent="0.25">
      <c r="A34" t="s">
        <v>20</v>
      </c>
      <c r="B34">
        <v>-64</v>
      </c>
      <c r="C34">
        <v>118.467</v>
      </c>
    </row>
    <row r="35" spans="1:3" hidden="1" x14ac:dyDescent="0.25">
      <c r="A35" t="s">
        <v>36</v>
      </c>
      <c r="B35">
        <v>-154</v>
      </c>
      <c r="C35">
        <v>118.38</v>
      </c>
    </row>
    <row r="36" spans="1:3" hidden="1" x14ac:dyDescent="0.25">
      <c r="A36" t="s">
        <v>29</v>
      </c>
      <c r="B36">
        <v>-1.954</v>
      </c>
      <c r="C36">
        <v>118.36</v>
      </c>
    </row>
    <row r="37" spans="1:3" hidden="1" x14ac:dyDescent="0.25">
      <c r="A37" t="s">
        <v>23</v>
      </c>
      <c r="B37">
        <v>-2.9740000000000002</v>
      </c>
      <c r="C37">
        <v>118.494</v>
      </c>
    </row>
    <row r="38" spans="1:3" x14ac:dyDescent="0.25">
      <c r="A38" t="s">
        <v>17</v>
      </c>
      <c r="B38">
        <v>-4877</v>
      </c>
      <c r="C38">
        <v>118.167</v>
      </c>
    </row>
    <row r="39" spans="1:3" hidden="1" x14ac:dyDescent="0.25">
      <c r="A39" t="s">
        <v>41</v>
      </c>
      <c r="B39">
        <v>-5.165</v>
      </c>
      <c r="C39">
        <v>118.465</v>
      </c>
    </row>
    <row r="40" spans="1:3" hidden="1" x14ac:dyDescent="0.25">
      <c r="A40" t="s">
        <v>39</v>
      </c>
      <c r="B40">
        <v>-6.0270000000000001</v>
      </c>
      <c r="C40">
        <v>118.334</v>
      </c>
    </row>
    <row r="41" spans="1:3" hidden="1" x14ac:dyDescent="0.25">
      <c r="A41" t="s">
        <v>14</v>
      </c>
      <c r="B41">
        <v>-6.7939999999999996</v>
      </c>
      <c r="C41">
        <v>118.381</v>
      </c>
    </row>
    <row r="42" spans="1:3" x14ac:dyDescent="0.25">
      <c r="A42" t="s">
        <v>33</v>
      </c>
      <c r="B42">
        <v>-11515</v>
      </c>
      <c r="C42">
        <v>117.944</v>
      </c>
    </row>
    <row r="43" spans="1:3" x14ac:dyDescent="0.25">
      <c r="A43" t="s">
        <v>7</v>
      </c>
      <c r="B43">
        <v>-14735</v>
      </c>
      <c r="C43">
        <v>117.98699999999999</v>
      </c>
    </row>
    <row r="44" spans="1:3" x14ac:dyDescent="0.25">
      <c r="A44" t="s">
        <v>8</v>
      </c>
      <c r="B44">
        <v>-26178</v>
      </c>
      <c r="C44">
        <v>118.345</v>
      </c>
    </row>
    <row r="45" spans="1:3" hidden="1" x14ac:dyDescent="0.25">
      <c r="A45" t="s">
        <v>43</v>
      </c>
      <c r="B45">
        <v>-55.417000000000002</v>
      </c>
      <c r="C45">
        <v>118.461</v>
      </c>
    </row>
  </sheetData>
  <autoFilter ref="A3:C45" xr:uid="{B950FA24-4412-4BDE-AE1A-98A89BB9F629}">
    <filterColumn colId="0">
      <filters>
        <filter val="Credit"/>
        <filter val="Goldman"/>
        <filter val="JP Morgan"/>
        <filter val="Merrill"/>
        <filter val="Morgan"/>
        <filter val="Tullett"/>
        <filter val="UBS"/>
      </filters>
    </filterColumn>
  </autoFilter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0E245-811D-4816-93A2-BDBAEA55BF8F}">
  <sheetPr codeName="Planilha38" filterMode="1"/>
  <dimension ref="A1:C37"/>
  <sheetViews>
    <sheetView workbookViewId="0">
      <selection activeCell="B38" sqref="B38"/>
    </sheetView>
  </sheetViews>
  <sheetFormatPr defaultRowHeight="15" x14ac:dyDescent="0.25"/>
  <sheetData>
    <row r="1" spans="1:3" x14ac:dyDescent="0.25">
      <c r="A1" t="s">
        <v>49</v>
      </c>
    </row>
    <row r="2" spans="1:3" x14ac:dyDescent="0.25">
      <c r="A2">
        <f>_xlfn.AGGREGATE(9,5,A4:B70)</f>
        <v>-3040</v>
      </c>
    </row>
    <row r="3" spans="1:3" x14ac:dyDescent="0.25">
      <c r="A3" t="s">
        <v>3</v>
      </c>
      <c r="B3" t="s">
        <v>4</v>
      </c>
      <c r="C3" t="s">
        <v>5</v>
      </c>
    </row>
    <row r="4" spans="1:3" hidden="1" x14ac:dyDescent="0.25">
      <c r="A4" t="s">
        <v>14</v>
      </c>
      <c r="B4">
        <v>495</v>
      </c>
      <c r="C4">
        <v>118.749</v>
      </c>
    </row>
    <row r="5" spans="1:3" hidden="1" x14ac:dyDescent="0.25">
      <c r="A5" t="s">
        <v>43</v>
      </c>
      <c r="B5">
        <v>-1.29</v>
      </c>
      <c r="C5">
        <v>120.161</v>
      </c>
    </row>
    <row r="6" spans="1:3" hidden="1" x14ac:dyDescent="0.25">
      <c r="A6" t="s">
        <v>35</v>
      </c>
      <c r="B6">
        <v>-710</v>
      </c>
      <c r="C6">
        <v>118.82899999999999</v>
      </c>
    </row>
    <row r="7" spans="1:3" hidden="1" x14ac:dyDescent="0.25">
      <c r="A7" t="s">
        <v>41</v>
      </c>
      <c r="B7">
        <v>6.94</v>
      </c>
      <c r="C7">
        <v>119.94199999999999</v>
      </c>
    </row>
    <row r="8" spans="1:3" hidden="1" x14ac:dyDescent="0.25">
      <c r="A8" t="s">
        <v>12</v>
      </c>
      <c r="B8">
        <v>250</v>
      </c>
      <c r="C8">
        <v>116.108</v>
      </c>
    </row>
    <row r="9" spans="1:3" hidden="1" x14ac:dyDescent="0.25">
      <c r="A9" t="s">
        <v>37</v>
      </c>
      <c r="B9">
        <v>-1.575</v>
      </c>
      <c r="C9">
        <v>119.973</v>
      </c>
    </row>
    <row r="10" spans="1:3" hidden="1" x14ac:dyDescent="0.25">
      <c r="A10" t="s">
        <v>16</v>
      </c>
      <c r="B10">
        <v>15</v>
      </c>
      <c r="C10">
        <v>119.65</v>
      </c>
    </row>
    <row r="11" spans="1:3" x14ac:dyDescent="0.25">
      <c r="A11" t="s">
        <v>17</v>
      </c>
      <c r="B11">
        <v>-580</v>
      </c>
      <c r="C11">
        <v>120.292</v>
      </c>
    </row>
    <row r="12" spans="1:3" hidden="1" x14ac:dyDescent="0.25">
      <c r="A12" t="s">
        <v>22</v>
      </c>
      <c r="B12">
        <v>-20</v>
      </c>
      <c r="C12">
        <v>119.565</v>
      </c>
    </row>
    <row r="13" spans="1:3" hidden="1" x14ac:dyDescent="0.25">
      <c r="A13" t="s">
        <v>9</v>
      </c>
      <c r="B13">
        <v>-405</v>
      </c>
      <c r="C13">
        <v>119.185</v>
      </c>
    </row>
    <row r="14" spans="1:3" x14ac:dyDescent="0.25">
      <c r="A14" t="s">
        <v>33</v>
      </c>
      <c r="B14">
        <v>-200</v>
      </c>
      <c r="C14">
        <v>118.703</v>
      </c>
    </row>
    <row r="15" spans="1:3" hidden="1" x14ac:dyDescent="0.25">
      <c r="A15" t="s">
        <v>13</v>
      </c>
      <c r="B15">
        <v>-170</v>
      </c>
      <c r="C15">
        <v>119.526</v>
      </c>
    </row>
    <row r="16" spans="1:3" hidden="1" x14ac:dyDescent="0.25">
      <c r="A16" t="s">
        <v>19</v>
      </c>
      <c r="B16">
        <v>-110</v>
      </c>
      <c r="C16">
        <v>120.34099999999999</v>
      </c>
    </row>
    <row r="17" spans="1:3" hidden="1" x14ac:dyDescent="0.25">
      <c r="A17" t="s">
        <v>40</v>
      </c>
      <c r="B17">
        <v>-140</v>
      </c>
      <c r="C17">
        <v>107.602</v>
      </c>
    </row>
    <row r="18" spans="1:3" hidden="1" x14ac:dyDescent="0.25">
      <c r="A18" t="s">
        <v>25</v>
      </c>
      <c r="B18">
        <v>-185</v>
      </c>
      <c r="C18">
        <v>119.896</v>
      </c>
    </row>
    <row r="19" spans="1:3" hidden="1" x14ac:dyDescent="0.25">
      <c r="A19" t="s">
        <v>39</v>
      </c>
      <c r="B19">
        <v>-1.105</v>
      </c>
      <c r="C19">
        <v>119.938</v>
      </c>
    </row>
    <row r="20" spans="1:3" x14ac:dyDescent="0.25">
      <c r="A20" t="s">
        <v>7</v>
      </c>
      <c r="B20">
        <v>165</v>
      </c>
      <c r="C20">
        <v>120.59099999999999</v>
      </c>
    </row>
    <row r="21" spans="1:3" x14ac:dyDescent="0.25">
      <c r="A21" t="s">
        <v>42</v>
      </c>
      <c r="B21">
        <v>955</v>
      </c>
      <c r="C21">
        <v>119.79900000000001</v>
      </c>
    </row>
    <row r="22" spans="1:3" hidden="1" x14ac:dyDescent="0.25">
      <c r="A22" t="s">
        <v>29</v>
      </c>
      <c r="B22">
        <v>-115</v>
      </c>
      <c r="C22">
        <v>119.569</v>
      </c>
    </row>
    <row r="23" spans="1:3" hidden="1" x14ac:dyDescent="0.25">
      <c r="A23" t="s">
        <v>38</v>
      </c>
      <c r="B23">
        <v>4.6749999999999998</v>
      </c>
      <c r="C23">
        <v>119.819</v>
      </c>
    </row>
    <row r="24" spans="1:3" x14ac:dyDescent="0.25">
      <c r="A24" t="s">
        <v>44</v>
      </c>
      <c r="B24">
        <v>1115</v>
      </c>
      <c r="C24">
        <v>119.599</v>
      </c>
    </row>
    <row r="25" spans="1:3" hidden="1" x14ac:dyDescent="0.25">
      <c r="A25" t="s">
        <v>20</v>
      </c>
      <c r="B25">
        <v>-1.1299999999999999</v>
      </c>
      <c r="C25">
        <v>120.077</v>
      </c>
    </row>
    <row r="26" spans="1:3" hidden="1" x14ac:dyDescent="0.25">
      <c r="A26" t="s">
        <v>36</v>
      </c>
      <c r="B26">
        <v>1.0900000000000001</v>
      </c>
      <c r="C26">
        <v>119.125</v>
      </c>
    </row>
    <row r="27" spans="1:3" hidden="1" x14ac:dyDescent="0.25">
      <c r="A27" t="s">
        <v>31</v>
      </c>
      <c r="B27">
        <v>15</v>
      </c>
      <c r="C27">
        <v>114.803</v>
      </c>
    </row>
    <row r="28" spans="1:3" hidden="1" x14ac:dyDescent="0.25">
      <c r="A28" t="s">
        <v>26</v>
      </c>
      <c r="B28">
        <v>-90</v>
      </c>
      <c r="C28">
        <v>120.062</v>
      </c>
    </row>
    <row r="29" spans="1:3" hidden="1" x14ac:dyDescent="0.25">
      <c r="A29" t="s">
        <v>46</v>
      </c>
      <c r="B29">
        <v>5</v>
      </c>
      <c r="C29">
        <v>106.61499999999999</v>
      </c>
    </row>
    <row r="30" spans="1:3" hidden="1" x14ac:dyDescent="0.25">
      <c r="A30" t="s">
        <v>18</v>
      </c>
      <c r="B30">
        <v>-5</v>
      </c>
      <c r="C30">
        <v>119.28</v>
      </c>
    </row>
    <row r="31" spans="1:3" hidden="1" x14ac:dyDescent="0.25">
      <c r="A31" t="s">
        <v>11</v>
      </c>
      <c r="B31">
        <v>450</v>
      </c>
      <c r="C31">
        <v>119.392</v>
      </c>
    </row>
    <row r="32" spans="1:3" hidden="1" x14ac:dyDescent="0.25">
      <c r="A32" t="s">
        <v>30</v>
      </c>
      <c r="B32">
        <v>40</v>
      </c>
      <c r="C32">
        <v>119.776</v>
      </c>
    </row>
    <row r="33" spans="1:3" hidden="1" x14ac:dyDescent="0.25">
      <c r="A33" t="s">
        <v>15</v>
      </c>
      <c r="B33">
        <v>205</v>
      </c>
      <c r="C33">
        <v>119.73699999999999</v>
      </c>
    </row>
    <row r="34" spans="1:3" x14ac:dyDescent="0.25">
      <c r="A34" t="s">
        <v>28</v>
      </c>
      <c r="B34">
        <v>-2350</v>
      </c>
      <c r="C34">
        <v>119.699</v>
      </c>
    </row>
    <row r="35" spans="1:3" x14ac:dyDescent="0.25">
      <c r="A35" t="s">
        <v>8</v>
      </c>
      <c r="B35">
        <v>-2145</v>
      </c>
      <c r="C35">
        <v>119.67400000000001</v>
      </c>
    </row>
    <row r="36" spans="1:3" hidden="1" x14ac:dyDescent="0.25">
      <c r="A36" t="s">
        <v>45</v>
      </c>
      <c r="B36">
        <v>-300</v>
      </c>
      <c r="C36">
        <v>119.956</v>
      </c>
    </row>
    <row r="37" spans="1:3" hidden="1" x14ac:dyDescent="0.25">
      <c r="A37" t="s">
        <v>6</v>
      </c>
      <c r="B37">
        <v>-3.79</v>
      </c>
      <c r="C37">
        <v>119.876</v>
      </c>
    </row>
  </sheetData>
  <autoFilter ref="A3:C37" xr:uid="{7AE0E245-811D-4816-93A2-BDBAEA55BF8F}">
    <filterColumn colId="0">
      <filters>
        <filter val="Credit"/>
        <filter val="Goldman"/>
        <filter val="JP Morgan"/>
        <filter val="Merrill"/>
        <filter val="Morgan"/>
        <filter val="Tullett"/>
        <filter val="UBS"/>
      </filters>
    </filterColumn>
  </autoFilter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599CB-FA13-4B47-A122-A9CFFD999709}">
  <sheetPr codeName="Planilha39" filterMode="1"/>
  <dimension ref="A1:C44"/>
  <sheetViews>
    <sheetView workbookViewId="0">
      <selection activeCell="A2" sqref="A2"/>
    </sheetView>
  </sheetViews>
  <sheetFormatPr defaultRowHeight="15" x14ac:dyDescent="0.25"/>
  <sheetData>
    <row r="1" spans="1:3" x14ac:dyDescent="0.25">
      <c r="A1" t="s">
        <v>49</v>
      </c>
    </row>
    <row r="2" spans="1:3" x14ac:dyDescent="0.25">
      <c r="A2">
        <f>_xlfn.AGGREGATE(9,5,A4:B70)</f>
        <v>50088</v>
      </c>
    </row>
    <row r="3" spans="1:3" x14ac:dyDescent="0.25">
      <c r="A3" t="s">
        <v>3</v>
      </c>
      <c r="B3" t="s">
        <v>4</v>
      </c>
      <c r="C3" t="s">
        <v>5</v>
      </c>
    </row>
    <row r="4" spans="1:3" x14ac:dyDescent="0.25">
      <c r="A4" t="s">
        <v>8</v>
      </c>
      <c r="B4">
        <v>23750</v>
      </c>
      <c r="C4">
        <v>119.724</v>
      </c>
    </row>
    <row r="5" spans="1:3" x14ac:dyDescent="0.25">
      <c r="A5" t="s">
        <v>7</v>
      </c>
      <c r="B5">
        <v>21960</v>
      </c>
      <c r="C5">
        <v>119.648</v>
      </c>
    </row>
    <row r="6" spans="1:3" hidden="1" x14ac:dyDescent="0.25">
      <c r="A6" t="s">
        <v>41</v>
      </c>
      <c r="B6">
        <v>14.787000000000001</v>
      </c>
      <c r="C6">
        <v>119.709</v>
      </c>
    </row>
    <row r="7" spans="1:3" hidden="1" x14ac:dyDescent="0.25">
      <c r="A7" t="s">
        <v>9</v>
      </c>
      <c r="B7">
        <v>13.061999999999999</v>
      </c>
      <c r="C7">
        <v>119.72</v>
      </c>
    </row>
    <row r="8" spans="1:3" x14ac:dyDescent="0.25">
      <c r="A8" t="s">
        <v>28</v>
      </c>
      <c r="B8">
        <v>12931</v>
      </c>
      <c r="C8">
        <v>119.57899999999999</v>
      </c>
    </row>
    <row r="9" spans="1:3" hidden="1" x14ac:dyDescent="0.25">
      <c r="A9" t="s">
        <v>37</v>
      </c>
      <c r="B9">
        <v>10.156000000000001</v>
      </c>
      <c r="C9">
        <v>119.706</v>
      </c>
    </row>
    <row r="10" spans="1:3" hidden="1" x14ac:dyDescent="0.25">
      <c r="A10" t="s">
        <v>35</v>
      </c>
      <c r="B10">
        <v>4.2119999999999997</v>
      </c>
      <c r="C10">
        <v>119.706</v>
      </c>
    </row>
    <row r="11" spans="1:3" x14ac:dyDescent="0.25">
      <c r="A11" t="s">
        <v>17</v>
      </c>
      <c r="B11">
        <v>2634</v>
      </c>
      <c r="C11">
        <v>119.64400000000001</v>
      </c>
    </row>
    <row r="12" spans="1:3" hidden="1" x14ac:dyDescent="0.25">
      <c r="A12" t="s">
        <v>10</v>
      </c>
      <c r="B12">
        <v>1.474</v>
      </c>
      <c r="C12">
        <v>119.655</v>
      </c>
    </row>
    <row r="13" spans="1:3" hidden="1" x14ac:dyDescent="0.25">
      <c r="A13" t="s">
        <v>14</v>
      </c>
      <c r="B13">
        <v>1.0609999999999999</v>
      </c>
      <c r="C13">
        <v>119.676</v>
      </c>
    </row>
    <row r="14" spans="1:3" hidden="1" x14ac:dyDescent="0.25">
      <c r="A14" t="s">
        <v>23</v>
      </c>
      <c r="B14">
        <v>998</v>
      </c>
      <c r="C14">
        <v>119.511</v>
      </c>
    </row>
    <row r="15" spans="1:3" hidden="1" x14ac:dyDescent="0.25">
      <c r="A15" t="s">
        <v>34</v>
      </c>
      <c r="B15">
        <v>250</v>
      </c>
      <c r="C15">
        <v>119.688</v>
      </c>
    </row>
    <row r="16" spans="1:3" hidden="1" x14ac:dyDescent="0.25">
      <c r="A16" t="s">
        <v>46</v>
      </c>
      <c r="B16">
        <v>193</v>
      </c>
      <c r="C16">
        <v>119.77800000000001</v>
      </c>
    </row>
    <row r="17" spans="1:3" hidden="1" x14ac:dyDescent="0.25">
      <c r="A17" t="s">
        <v>19</v>
      </c>
      <c r="B17">
        <v>27</v>
      </c>
      <c r="C17">
        <v>119.71899999999999</v>
      </c>
    </row>
    <row r="18" spans="1:3" hidden="1" x14ac:dyDescent="0.25">
      <c r="A18" t="s">
        <v>22</v>
      </c>
      <c r="B18">
        <v>2</v>
      </c>
      <c r="C18">
        <v>119.54900000000001</v>
      </c>
    </row>
    <row r="19" spans="1:3" hidden="1" x14ac:dyDescent="0.25">
      <c r="A19" t="s">
        <v>32</v>
      </c>
      <c r="B19">
        <v>-8</v>
      </c>
      <c r="C19">
        <v>119.586</v>
      </c>
    </row>
    <row r="20" spans="1:3" hidden="1" x14ac:dyDescent="0.25">
      <c r="A20" t="s">
        <v>24</v>
      </c>
      <c r="B20">
        <v>-17</v>
      </c>
      <c r="C20">
        <v>119.61799999999999</v>
      </c>
    </row>
    <row r="21" spans="1:3" hidden="1" x14ac:dyDescent="0.25">
      <c r="A21" t="s">
        <v>30</v>
      </c>
      <c r="B21">
        <v>-32</v>
      </c>
      <c r="C21">
        <v>119.526</v>
      </c>
    </row>
    <row r="22" spans="1:3" hidden="1" x14ac:dyDescent="0.25">
      <c r="A22" t="s">
        <v>26</v>
      </c>
      <c r="B22">
        <v>-66</v>
      </c>
      <c r="C22">
        <v>119.66</v>
      </c>
    </row>
    <row r="23" spans="1:3" hidden="1" x14ac:dyDescent="0.25">
      <c r="A23" t="s">
        <v>21</v>
      </c>
      <c r="B23">
        <v>-119</v>
      </c>
      <c r="C23">
        <v>119.65900000000001</v>
      </c>
    </row>
    <row r="24" spans="1:3" hidden="1" x14ac:dyDescent="0.25">
      <c r="A24" t="s">
        <v>27</v>
      </c>
      <c r="B24">
        <v>-141</v>
      </c>
      <c r="C24">
        <v>119.679</v>
      </c>
    </row>
    <row r="25" spans="1:3" hidden="1" x14ac:dyDescent="0.25">
      <c r="A25" t="s">
        <v>45</v>
      </c>
      <c r="B25">
        <v>-158</v>
      </c>
      <c r="C25">
        <v>120.22499999999999</v>
      </c>
    </row>
    <row r="26" spans="1:3" hidden="1" x14ac:dyDescent="0.25">
      <c r="A26" t="s">
        <v>31</v>
      </c>
      <c r="B26">
        <v>-356</v>
      </c>
      <c r="C26">
        <v>119.715</v>
      </c>
    </row>
    <row r="27" spans="1:3" hidden="1" x14ac:dyDescent="0.25">
      <c r="A27" t="s">
        <v>18</v>
      </c>
      <c r="B27">
        <v>-1.2410000000000001</v>
      </c>
      <c r="C27">
        <v>119.71899999999999</v>
      </c>
    </row>
    <row r="28" spans="1:3" hidden="1" x14ac:dyDescent="0.25">
      <c r="A28" t="s">
        <v>16</v>
      </c>
      <c r="B28">
        <v>-1.2669999999999999</v>
      </c>
      <c r="C28">
        <v>119.71299999999999</v>
      </c>
    </row>
    <row r="29" spans="1:3" hidden="1" x14ac:dyDescent="0.25">
      <c r="A29" t="s">
        <v>29</v>
      </c>
      <c r="B29">
        <v>-1.294</v>
      </c>
      <c r="C29">
        <v>119.63800000000001</v>
      </c>
    </row>
    <row r="30" spans="1:3" hidden="1" x14ac:dyDescent="0.25">
      <c r="A30" t="s">
        <v>40</v>
      </c>
      <c r="B30">
        <v>-1.8919999999999999</v>
      </c>
      <c r="C30">
        <v>119.71599999999999</v>
      </c>
    </row>
    <row r="31" spans="1:3" hidden="1" x14ac:dyDescent="0.25">
      <c r="A31" t="s">
        <v>11</v>
      </c>
      <c r="B31">
        <v>-2.0009999999999999</v>
      </c>
      <c r="C31">
        <v>119.592</v>
      </c>
    </row>
    <row r="32" spans="1:3" hidden="1" x14ac:dyDescent="0.25">
      <c r="A32" t="s">
        <v>15</v>
      </c>
      <c r="B32">
        <v>-2.5830000000000002</v>
      </c>
      <c r="C32">
        <v>119.77</v>
      </c>
    </row>
    <row r="33" spans="1:3" hidden="1" x14ac:dyDescent="0.25">
      <c r="A33" t="s">
        <v>36</v>
      </c>
      <c r="B33">
        <v>-2.6789999999999998</v>
      </c>
      <c r="C33">
        <v>119.749</v>
      </c>
    </row>
    <row r="34" spans="1:3" x14ac:dyDescent="0.25">
      <c r="A34" t="s">
        <v>44</v>
      </c>
      <c r="B34">
        <v>-2715</v>
      </c>
      <c r="C34">
        <v>119.812</v>
      </c>
    </row>
    <row r="35" spans="1:3" x14ac:dyDescent="0.25">
      <c r="A35" t="s">
        <v>42</v>
      </c>
      <c r="B35">
        <v>-4065</v>
      </c>
      <c r="C35">
        <v>119.866</v>
      </c>
    </row>
    <row r="36" spans="1:3" x14ac:dyDescent="0.25">
      <c r="A36" t="s">
        <v>33</v>
      </c>
      <c r="B36">
        <v>-4407</v>
      </c>
      <c r="C36">
        <v>119.5</v>
      </c>
    </row>
    <row r="37" spans="1:3" hidden="1" x14ac:dyDescent="0.25">
      <c r="A37" t="s">
        <v>25</v>
      </c>
      <c r="B37">
        <v>-4.9690000000000003</v>
      </c>
      <c r="C37">
        <v>119.75</v>
      </c>
    </row>
    <row r="38" spans="1:3" hidden="1" x14ac:dyDescent="0.25">
      <c r="A38" t="s">
        <v>12</v>
      </c>
      <c r="B38">
        <v>-5.2830000000000004</v>
      </c>
      <c r="C38">
        <v>119.839</v>
      </c>
    </row>
    <row r="39" spans="1:3" hidden="1" x14ac:dyDescent="0.25">
      <c r="A39" t="s">
        <v>38</v>
      </c>
      <c r="B39">
        <v>-7.3079999999999998</v>
      </c>
      <c r="C39">
        <v>119.706</v>
      </c>
    </row>
    <row r="40" spans="1:3" hidden="1" x14ac:dyDescent="0.25">
      <c r="A40" t="s">
        <v>13</v>
      </c>
      <c r="B40">
        <v>-7.5449999999999999</v>
      </c>
      <c r="C40">
        <v>119.56399999999999</v>
      </c>
    </row>
    <row r="41" spans="1:3" hidden="1" x14ac:dyDescent="0.25">
      <c r="A41" t="s">
        <v>6</v>
      </c>
      <c r="B41">
        <v>-8.2680000000000007</v>
      </c>
      <c r="C41">
        <v>119.69799999999999</v>
      </c>
    </row>
    <row r="42" spans="1:3" hidden="1" x14ac:dyDescent="0.25">
      <c r="A42" t="s">
        <v>39</v>
      </c>
      <c r="B42">
        <v>-10.756</v>
      </c>
      <c r="C42">
        <v>119.744</v>
      </c>
    </row>
    <row r="43" spans="1:3" hidden="1" x14ac:dyDescent="0.25">
      <c r="A43" t="s">
        <v>20</v>
      </c>
      <c r="B43">
        <v>-14.013999999999999</v>
      </c>
      <c r="C43">
        <v>119.69499999999999</v>
      </c>
    </row>
    <row r="44" spans="1:3" hidden="1" x14ac:dyDescent="0.25">
      <c r="A44" t="s">
        <v>43</v>
      </c>
      <c r="B44">
        <v>-24.312999999999999</v>
      </c>
      <c r="C44">
        <v>119.754</v>
      </c>
    </row>
  </sheetData>
  <autoFilter ref="A3:C44" xr:uid="{BC3599CB-FA13-4B47-A122-A9CFFD999709}">
    <filterColumn colId="0">
      <filters>
        <filter val="Credit"/>
        <filter val="Goldman"/>
        <filter val="JP Morgan"/>
        <filter val="Merrill"/>
        <filter val="Morgan"/>
        <filter val="Tullett"/>
        <filter val="UBS"/>
      </filters>
    </filterColumn>
  </autoFilter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56447-B082-428C-AAC8-58B1EB5AE1DF}">
  <sheetPr codeName="Planilha40" filterMode="1"/>
  <dimension ref="A1:C37"/>
  <sheetViews>
    <sheetView workbookViewId="0">
      <selection activeCell="B36" sqref="B36"/>
    </sheetView>
  </sheetViews>
  <sheetFormatPr defaultRowHeight="15" x14ac:dyDescent="0.25"/>
  <sheetData>
    <row r="1" spans="1:3" x14ac:dyDescent="0.25">
      <c r="A1" t="s">
        <v>49</v>
      </c>
    </row>
    <row r="2" spans="1:3" x14ac:dyDescent="0.25">
      <c r="A2">
        <f>_xlfn.AGGREGATE(9,5,A4:B70)</f>
        <v>3360</v>
      </c>
    </row>
    <row r="3" spans="1:3" x14ac:dyDescent="0.25">
      <c r="A3" t="s">
        <v>3</v>
      </c>
      <c r="B3" t="s">
        <v>4</v>
      </c>
      <c r="C3" t="s">
        <v>5</v>
      </c>
    </row>
    <row r="4" spans="1:3" hidden="1" x14ac:dyDescent="0.25">
      <c r="A4" t="s">
        <v>21</v>
      </c>
      <c r="B4">
        <v>100</v>
      </c>
      <c r="C4">
        <v>120.05500000000001</v>
      </c>
    </row>
    <row r="5" spans="1:3" hidden="1" x14ac:dyDescent="0.25">
      <c r="A5" t="s">
        <v>14</v>
      </c>
      <c r="B5">
        <v>-1.02</v>
      </c>
      <c r="C5">
        <v>118.574</v>
      </c>
    </row>
    <row r="6" spans="1:3" hidden="1" x14ac:dyDescent="0.25">
      <c r="A6" t="s">
        <v>43</v>
      </c>
      <c r="B6">
        <v>-965</v>
      </c>
      <c r="C6">
        <v>118.47799999999999</v>
      </c>
    </row>
    <row r="7" spans="1:3" hidden="1" x14ac:dyDescent="0.25">
      <c r="A7" t="s">
        <v>35</v>
      </c>
      <c r="B7">
        <v>-715</v>
      </c>
      <c r="C7">
        <v>120.396</v>
      </c>
    </row>
    <row r="8" spans="1:3" hidden="1" x14ac:dyDescent="0.25">
      <c r="A8" t="s">
        <v>41</v>
      </c>
      <c r="B8">
        <v>3.78</v>
      </c>
      <c r="C8">
        <v>118.58799999999999</v>
      </c>
    </row>
    <row r="9" spans="1:3" hidden="1" x14ac:dyDescent="0.25">
      <c r="A9" t="s">
        <v>12</v>
      </c>
      <c r="B9">
        <v>-425</v>
      </c>
      <c r="C9">
        <v>119.148</v>
      </c>
    </row>
    <row r="10" spans="1:3" hidden="1" x14ac:dyDescent="0.25">
      <c r="A10" t="s">
        <v>37</v>
      </c>
      <c r="B10">
        <v>50</v>
      </c>
      <c r="C10">
        <v>116.012</v>
      </c>
    </row>
    <row r="11" spans="1:3" hidden="1" x14ac:dyDescent="0.25">
      <c r="A11" t="s">
        <v>180</v>
      </c>
      <c r="B11">
        <v>25</v>
      </c>
      <c r="C11">
        <v>119.941</v>
      </c>
    </row>
    <row r="12" spans="1:3" hidden="1" x14ac:dyDescent="0.25">
      <c r="A12" t="s">
        <v>16</v>
      </c>
      <c r="B12">
        <v>15</v>
      </c>
      <c r="C12">
        <v>120.03</v>
      </c>
    </row>
    <row r="13" spans="1:3" x14ac:dyDescent="0.25">
      <c r="A13" t="s">
        <v>17</v>
      </c>
      <c r="B13">
        <v>-190</v>
      </c>
      <c r="C13">
        <v>118.325</v>
      </c>
    </row>
    <row r="14" spans="1:3" hidden="1" x14ac:dyDescent="0.25">
      <c r="A14" t="s">
        <v>22</v>
      </c>
      <c r="B14">
        <v>20</v>
      </c>
      <c r="C14">
        <v>118.75</v>
      </c>
    </row>
    <row r="15" spans="1:3" hidden="1" x14ac:dyDescent="0.25">
      <c r="A15" t="s">
        <v>9</v>
      </c>
      <c r="B15">
        <v>1.1299999999999999</v>
      </c>
      <c r="C15">
        <v>119.23</v>
      </c>
    </row>
    <row r="16" spans="1:3" x14ac:dyDescent="0.25">
      <c r="A16" t="s">
        <v>33</v>
      </c>
      <c r="B16">
        <v>-915</v>
      </c>
      <c r="C16">
        <v>119.17700000000001</v>
      </c>
    </row>
    <row r="17" spans="1:3" hidden="1" x14ac:dyDescent="0.25">
      <c r="A17" t="s">
        <v>13</v>
      </c>
      <c r="B17">
        <v>45</v>
      </c>
      <c r="C17">
        <v>117.241</v>
      </c>
    </row>
    <row r="18" spans="1:3" hidden="1" x14ac:dyDescent="0.25">
      <c r="A18" t="s">
        <v>19</v>
      </c>
      <c r="B18">
        <v>190</v>
      </c>
      <c r="C18">
        <v>118.881</v>
      </c>
    </row>
    <row r="19" spans="1:3" hidden="1" x14ac:dyDescent="0.25">
      <c r="A19" t="s">
        <v>40</v>
      </c>
      <c r="B19">
        <v>1.54</v>
      </c>
      <c r="C19">
        <v>117.437</v>
      </c>
    </row>
    <row r="20" spans="1:3" hidden="1" x14ac:dyDescent="0.25">
      <c r="A20" t="s">
        <v>25</v>
      </c>
      <c r="B20">
        <v>-5</v>
      </c>
      <c r="C20">
        <v>119.155</v>
      </c>
    </row>
    <row r="21" spans="1:3" hidden="1" x14ac:dyDescent="0.25">
      <c r="A21" t="s">
        <v>39</v>
      </c>
      <c r="B21">
        <v>-3.83</v>
      </c>
      <c r="C21">
        <v>119.095</v>
      </c>
    </row>
    <row r="22" spans="1:3" x14ac:dyDescent="0.25">
      <c r="A22" t="s">
        <v>7</v>
      </c>
      <c r="B22">
        <v>1520</v>
      </c>
      <c r="C22">
        <v>118.77800000000001</v>
      </c>
    </row>
    <row r="23" spans="1:3" x14ac:dyDescent="0.25">
      <c r="A23" t="s">
        <v>42</v>
      </c>
      <c r="B23">
        <v>185</v>
      </c>
      <c r="C23">
        <v>119.684</v>
      </c>
    </row>
    <row r="24" spans="1:3" hidden="1" x14ac:dyDescent="0.25">
      <c r="A24" t="s">
        <v>38</v>
      </c>
      <c r="B24">
        <v>-3.645</v>
      </c>
      <c r="C24">
        <v>119.38500000000001</v>
      </c>
    </row>
    <row r="25" spans="1:3" x14ac:dyDescent="0.25">
      <c r="A25" t="s">
        <v>44</v>
      </c>
      <c r="B25">
        <v>1550</v>
      </c>
      <c r="C25">
        <v>118.842</v>
      </c>
    </row>
    <row r="26" spans="1:3" hidden="1" x14ac:dyDescent="0.25">
      <c r="A26" t="s">
        <v>20</v>
      </c>
      <c r="B26">
        <v>-380</v>
      </c>
      <c r="C26">
        <v>119.2</v>
      </c>
    </row>
    <row r="27" spans="1:3" hidden="1" x14ac:dyDescent="0.25">
      <c r="A27" t="s">
        <v>36</v>
      </c>
      <c r="B27">
        <v>-1.125</v>
      </c>
      <c r="C27">
        <v>118.43</v>
      </c>
    </row>
    <row r="28" spans="1:3" hidden="1" x14ac:dyDescent="0.25">
      <c r="A28" t="s">
        <v>31</v>
      </c>
      <c r="B28">
        <v>-5</v>
      </c>
      <c r="C28">
        <v>124.395</v>
      </c>
    </row>
    <row r="29" spans="1:3" hidden="1" x14ac:dyDescent="0.25">
      <c r="A29" t="s">
        <v>46</v>
      </c>
      <c r="B29">
        <v>-405</v>
      </c>
      <c r="C29">
        <v>118.593</v>
      </c>
    </row>
    <row r="30" spans="1:3" hidden="1" x14ac:dyDescent="0.25">
      <c r="A30" t="s">
        <v>18</v>
      </c>
      <c r="B30">
        <v>30</v>
      </c>
      <c r="C30">
        <v>119.489</v>
      </c>
    </row>
    <row r="31" spans="1:3" hidden="1" x14ac:dyDescent="0.25">
      <c r="A31" t="s">
        <v>24</v>
      </c>
      <c r="B31">
        <v>10</v>
      </c>
      <c r="C31">
        <v>119.383</v>
      </c>
    </row>
    <row r="32" spans="1:3" hidden="1" x14ac:dyDescent="0.25">
      <c r="A32" t="s">
        <v>11</v>
      </c>
      <c r="B32">
        <v>-875</v>
      </c>
      <c r="C32">
        <v>118.163</v>
      </c>
    </row>
    <row r="33" spans="1:3" hidden="1" x14ac:dyDescent="0.25">
      <c r="A33" t="s">
        <v>30</v>
      </c>
      <c r="B33">
        <v>10</v>
      </c>
      <c r="C33">
        <v>119.08</v>
      </c>
    </row>
    <row r="34" spans="1:3" hidden="1" x14ac:dyDescent="0.25">
      <c r="A34" t="s">
        <v>15</v>
      </c>
      <c r="B34">
        <v>1.19</v>
      </c>
      <c r="C34">
        <v>120.262</v>
      </c>
    </row>
    <row r="35" spans="1:3" x14ac:dyDescent="0.25">
      <c r="A35" t="s">
        <v>28</v>
      </c>
      <c r="B35">
        <v>1785</v>
      </c>
      <c r="C35">
        <v>119.88200000000001</v>
      </c>
    </row>
    <row r="36" spans="1:3" x14ac:dyDescent="0.25">
      <c r="A36" t="s">
        <v>8</v>
      </c>
      <c r="B36">
        <v>-575</v>
      </c>
      <c r="C36">
        <v>120.816</v>
      </c>
    </row>
    <row r="37" spans="1:3" hidden="1" x14ac:dyDescent="0.25">
      <c r="A37" t="s">
        <v>6</v>
      </c>
      <c r="B37">
        <v>1.9</v>
      </c>
      <c r="C37">
        <v>120.36499999999999</v>
      </c>
    </row>
  </sheetData>
  <autoFilter ref="A3:C37" xr:uid="{CE356447-B082-428C-AAC8-58B1EB5AE1DF}">
    <filterColumn colId="0">
      <filters>
        <filter val="Credit"/>
        <filter val="Goldman"/>
        <filter val="JP Morgan"/>
        <filter val="Merrill"/>
        <filter val="Morgan"/>
        <filter val="Tullett"/>
        <filter val="UBS"/>
      </filters>
    </filterColumn>
  </autoFilter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8E67F-96DE-4FE1-9F89-5B2451B075FE}">
  <sheetPr codeName="Planilha41" filterMode="1"/>
  <dimension ref="A1:C44"/>
  <sheetViews>
    <sheetView workbookViewId="0">
      <selection activeCell="B45" sqref="B45"/>
    </sheetView>
  </sheetViews>
  <sheetFormatPr defaultRowHeight="15" x14ac:dyDescent="0.25"/>
  <sheetData>
    <row r="1" spans="1:3" x14ac:dyDescent="0.25">
      <c r="A1" t="s">
        <v>49</v>
      </c>
    </row>
    <row r="2" spans="1:3" x14ac:dyDescent="0.25">
      <c r="A2">
        <f>_xlfn.AGGREGATE(9,5,A4:B70)</f>
        <v>-35546</v>
      </c>
    </row>
    <row r="3" spans="1:3" x14ac:dyDescent="0.25">
      <c r="A3" t="s">
        <v>3</v>
      </c>
      <c r="B3" t="s">
        <v>4</v>
      </c>
      <c r="C3" t="s">
        <v>5</v>
      </c>
    </row>
    <row r="4" spans="1:3" hidden="1" x14ac:dyDescent="0.25">
      <c r="A4" t="s">
        <v>37</v>
      </c>
      <c r="B4">
        <v>25.577000000000002</v>
      </c>
      <c r="C4">
        <v>120.405</v>
      </c>
    </row>
    <row r="5" spans="1:3" hidden="1" x14ac:dyDescent="0.25">
      <c r="A5" t="s">
        <v>38</v>
      </c>
      <c r="B5">
        <v>17.236000000000001</v>
      </c>
      <c r="C5">
        <v>120.51300000000001</v>
      </c>
    </row>
    <row r="6" spans="1:3" hidden="1" x14ac:dyDescent="0.25">
      <c r="A6" t="s">
        <v>13</v>
      </c>
      <c r="B6">
        <v>7.89</v>
      </c>
      <c r="C6">
        <v>120.69</v>
      </c>
    </row>
    <row r="7" spans="1:3" x14ac:dyDescent="0.25">
      <c r="A7" t="s">
        <v>42</v>
      </c>
      <c r="B7">
        <v>6641</v>
      </c>
      <c r="C7">
        <v>120.309</v>
      </c>
    </row>
    <row r="8" spans="1:3" hidden="1" x14ac:dyDescent="0.25">
      <c r="A8" t="s">
        <v>41</v>
      </c>
      <c r="B8">
        <v>6.5129999999999999</v>
      </c>
      <c r="C8">
        <v>120.70099999999999</v>
      </c>
    </row>
    <row r="9" spans="1:3" hidden="1" x14ac:dyDescent="0.25">
      <c r="A9" t="s">
        <v>12</v>
      </c>
      <c r="B9">
        <v>2.9940000000000002</v>
      </c>
      <c r="C9">
        <v>120.399</v>
      </c>
    </row>
    <row r="10" spans="1:3" hidden="1" x14ac:dyDescent="0.25">
      <c r="A10" t="s">
        <v>10</v>
      </c>
      <c r="B10">
        <v>2.7610000000000001</v>
      </c>
      <c r="C10">
        <v>120.624</v>
      </c>
    </row>
    <row r="11" spans="1:3" hidden="1" x14ac:dyDescent="0.25">
      <c r="A11" t="s">
        <v>11</v>
      </c>
      <c r="B11">
        <v>1.425</v>
      </c>
      <c r="C11">
        <v>119.479</v>
      </c>
    </row>
    <row r="12" spans="1:3" hidden="1" x14ac:dyDescent="0.25">
      <c r="A12" t="s">
        <v>34</v>
      </c>
      <c r="B12">
        <v>1.214</v>
      </c>
      <c r="C12">
        <v>120.069</v>
      </c>
    </row>
    <row r="13" spans="1:3" hidden="1" x14ac:dyDescent="0.25">
      <c r="A13" t="s">
        <v>16</v>
      </c>
      <c r="B13">
        <v>995</v>
      </c>
      <c r="C13">
        <v>121.73699999999999</v>
      </c>
    </row>
    <row r="14" spans="1:3" hidden="1" x14ac:dyDescent="0.25">
      <c r="A14" t="s">
        <v>32</v>
      </c>
      <c r="B14">
        <v>701</v>
      </c>
      <c r="C14">
        <v>120.245</v>
      </c>
    </row>
    <row r="15" spans="1:3" hidden="1" x14ac:dyDescent="0.25">
      <c r="A15" t="s">
        <v>36</v>
      </c>
      <c r="B15">
        <v>509</v>
      </c>
      <c r="C15">
        <v>118.783</v>
      </c>
    </row>
    <row r="16" spans="1:3" hidden="1" x14ac:dyDescent="0.25">
      <c r="A16" t="s">
        <v>43</v>
      </c>
      <c r="B16">
        <v>482</v>
      </c>
      <c r="C16">
        <v>117.437</v>
      </c>
    </row>
    <row r="17" spans="1:3" hidden="1" x14ac:dyDescent="0.25">
      <c r="A17" t="s">
        <v>46</v>
      </c>
      <c r="B17">
        <v>203</v>
      </c>
      <c r="C17">
        <v>119.88200000000001</v>
      </c>
    </row>
    <row r="18" spans="1:3" hidden="1" x14ac:dyDescent="0.25">
      <c r="A18" t="s">
        <v>21</v>
      </c>
      <c r="B18">
        <v>128</v>
      </c>
      <c r="C18">
        <v>120.108</v>
      </c>
    </row>
    <row r="19" spans="1:3" hidden="1" x14ac:dyDescent="0.25">
      <c r="A19" t="s">
        <v>19</v>
      </c>
      <c r="B19">
        <v>93</v>
      </c>
      <c r="C19">
        <v>120.28700000000001</v>
      </c>
    </row>
    <row r="20" spans="1:3" hidden="1" x14ac:dyDescent="0.25">
      <c r="A20" t="s">
        <v>27</v>
      </c>
      <c r="B20">
        <v>18</v>
      </c>
      <c r="C20">
        <v>122.301</v>
      </c>
    </row>
    <row r="21" spans="1:3" hidden="1" x14ac:dyDescent="0.25">
      <c r="A21" t="s">
        <v>26</v>
      </c>
      <c r="B21">
        <v>8</v>
      </c>
      <c r="C21">
        <v>115.66800000000001</v>
      </c>
    </row>
    <row r="22" spans="1:3" hidden="1" x14ac:dyDescent="0.25">
      <c r="A22" t="s">
        <v>22</v>
      </c>
      <c r="B22">
        <v>1</v>
      </c>
      <c r="C22">
        <v>121.32</v>
      </c>
    </row>
    <row r="23" spans="1:3" hidden="1" x14ac:dyDescent="0.25">
      <c r="A23" t="s">
        <v>18</v>
      </c>
      <c r="B23">
        <v>-14</v>
      </c>
      <c r="C23">
        <v>-1.734</v>
      </c>
    </row>
    <row r="24" spans="1:3" hidden="1" x14ac:dyDescent="0.25">
      <c r="A24" t="s">
        <v>31</v>
      </c>
      <c r="B24">
        <v>-8</v>
      </c>
      <c r="C24">
        <v>130.55500000000001</v>
      </c>
    </row>
    <row r="25" spans="1:3" hidden="1" x14ac:dyDescent="0.25">
      <c r="A25" t="s">
        <v>24</v>
      </c>
      <c r="B25">
        <v>-3</v>
      </c>
      <c r="C25">
        <v>647.70699999999999</v>
      </c>
    </row>
    <row r="26" spans="1:3" hidden="1" x14ac:dyDescent="0.25">
      <c r="A26" t="s">
        <v>23</v>
      </c>
      <c r="B26">
        <v>1</v>
      </c>
      <c r="C26" t="s">
        <v>176</v>
      </c>
    </row>
    <row r="27" spans="1:3" hidden="1" x14ac:dyDescent="0.25">
      <c r="A27" t="s">
        <v>25</v>
      </c>
      <c r="B27">
        <v>-37</v>
      </c>
      <c r="C27">
        <v>120.29300000000001</v>
      </c>
    </row>
    <row r="28" spans="1:3" hidden="1" x14ac:dyDescent="0.25">
      <c r="A28" t="s">
        <v>30</v>
      </c>
      <c r="B28">
        <v>-44</v>
      </c>
      <c r="C28">
        <v>121.54300000000001</v>
      </c>
    </row>
    <row r="29" spans="1:3" hidden="1" x14ac:dyDescent="0.25">
      <c r="A29" t="s">
        <v>45</v>
      </c>
      <c r="B29">
        <v>-45</v>
      </c>
      <c r="C29">
        <v>120.57299999999999</v>
      </c>
    </row>
    <row r="30" spans="1:3" hidden="1" x14ac:dyDescent="0.25">
      <c r="A30" t="s">
        <v>29</v>
      </c>
      <c r="B30">
        <v>-269</v>
      </c>
      <c r="C30">
        <v>120.932</v>
      </c>
    </row>
    <row r="31" spans="1:3" x14ac:dyDescent="0.25">
      <c r="A31" t="s">
        <v>17</v>
      </c>
      <c r="B31">
        <v>-489</v>
      </c>
      <c r="C31">
        <v>115.905</v>
      </c>
    </row>
    <row r="32" spans="1:3" hidden="1" x14ac:dyDescent="0.25">
      <c r="A32" t="s">
        <v>15</v>
      </c>
      <c r="B32">
        <v>-484</v>
      </c>
      <c r="C32">
        <v>124.51900000000001</v>
      </c>
    </row>
    <row r="33" spans="1:3" hidden="1" x14ac:dyDescent="0.25">
      <c r="A33" t="s">
        <v>9</v>
      </c>
      <c r="B33">
        <v>-1.831</v>
      </c>
      <c r="C33">
        <v>119.357</v>
      </c>
    </row>
    <row r="34" spans="1:3" hidden="1" x14ac:dyDescent="0.25">
      <c r="A34" t="s">
        <v>20</v>
      </c>
      <c r="B34">
        <v>-2.13</v>
      </c>
      <c r="C34">
        <v>119.045</v>
      </c>
    </row>
    <row r="35" spans="1:3" hidden="1" x14ac:dyDescent="0.25">
      <c r="A35" t="s">
        <v>39</v>
      </c>
      <c r="B35">
        <v>-2.9809999999999999</v>
      </c>
      <c r="C35">
        <v>120.479</v>
      </c>
    </row>
    <row r="36" spans="1:3" hidden="1" x14ac:dyDescent="0.25">
      <c r="A36" t="s">
        <v>14</v>
      </c>
      <c r="B36">
        <v>-2.9769999999999999</v>
      </c>
      <c r="C36">
        <v>121.033</v>
      </c>
    </row>
    <row r="37" spans="1:3" hidden="1" x14ac:dyDescent="0.25">
      <c r="A37" t="s">
        <v>6</v>
      </c>
      <c r="B37">
        <v>-3.8180000000000001</v>
      </c>
      <c r="C37">
        <v>119.96299999999999</v>
      </c>
    </row>
    <row r="38" spans="1:3" x14ac:dyDescent="0.25">
      <c r="A38" t="s">
        <v>7</v>
      </c>
      <c r="B38">
        <v>-4725</v>
      </c>
      <c r="C38">
        <v>120.834</v>
      </c>
    </row>
    <row r="39" spans="1:3" x14ac:dyDescent="0.25">
      <c r="A39" t="s">
        <v>8</v>
      </c>
      <c r="B39">
        <v>-6283</v>
      </c>
      <c r="C39">
        <v>119.79600000000001</v>
      </c>
    </row>
    <row r="40" spans="1:3" x14ac:dyDescent="0.25">
      <c r="A40" t="s">
        <v>33</v>
      </c>
      <c r="B40">
        <v>-7074</v>
      </c>
      <c r="C40">
        <v>120.538</v>
      </c>
    </row>
    <row r="41" spans="1:3" x14ac:dyDescent="0.25">
      <c r="A41" t="s">
        <v>28</v>
      </c>
      <c r="B41">
        <v>-7121</v>
      </c>
      <c r="C41">
        <v>120.43</v>
      </c>
    </row>
    <row r="42" spans="1:3" hidden="1" x14ac:dyDescent="0.25">
      <c r="A42" t="s">
        <v>35</v>
      </c>
      <c r="B42">
        <v>-7.2910000000000004</v>
      </c>
      <c r="C42">
        <v>120.798</v>
      </c>
    </row>
    <row r="43" spans="1:3" hidden="1" x14ac:dyDescent="0.25">
      <c r="A43" t="s">
        <v>40</v>
      </c>
      <c r="B43">
        <v>-11.271000000000001</v>
      </c>
      <c r="C43">
        <v>120.813</v>
      </c>
    </row>
    <row r="44" spans="1:3" x14ac:dyDescent="0.25">
      <c r="A44" t="s">
        <v>44</v>
      </c>
      <c r="B44">
        <v>-16495</v>
      </c>
      <c r="C44">
        <v>120.285</v>
      </c>
    </row>
  </sheetData>
  <autoFilter ref="A3:C44" xr:uid="{7038E67F-96DE-4FE1-9F89-5B2451B075FE}">
    <filterColumn colId="0">
      <filters>
        <filter val="Credit"/>
        <filter val="Goldman"/>
        <filter val="JP Morgan"/>
        <filter val="Merrill"/>
        <filter val="Morgan"/>
        <filter val="Tullett"/>
        <filter val="UBS"/>
      </filters>
    </filterColumn>
  </autoFilter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0624E-3B04-48A3-B944-6EFC607B82FF}">
  <sheetPr codeName="Planilha42" filterMode="1"/>
  <dimension ref="A1:C36"/>
  <sheetViews>
    <sheetView workbookViewId="0">
      <selection activeCell="B37" sqref="B37"/>
    </sheetView>
  </sheetViews>
  <sheetFormatPr defaultRowHeight="15" x14ac:dyDescent="0.25"/>
  <sheetData>
    <row r="1" spans="1:3" x14ac:dyDescent="0.25">
      <c r="A1" t="s">
        <v>49</v>
      </c>
    </row>
    <row r="2" spans="1:3" x14ac:dyDescent="0.25">
      <c r="A2">
        <f>_xlfn.AGGREGATE(9,5,A4:B70)</f>
        <v>4225</v>
      </c>
    </row>
    <row r="3" spans="1:3" x14ac:dyDescent="0.25">
      <c r="A3" t="s">
        <v>3</v>
      </c>
      <c r="B3" t="s">
        <v>4</v>
      </c>
      <c r="C3" t="s">
        <v>5</v>
      </c>
    </row>
    <row r="4" spans="1:3" hidden="1" x14ac:dyDescent="0.25">
      <c r="A4" t="s">
        <v>14</v>
      </c>
      <c r="B4">
        <v>-225</v>
      </c>
      <c r="C4">
        <v>120.41500000000001</v>
      </c>
    </row>
    <row r="5" spans="1:3" hidden="1" x14ac:dyDescent="0.25">
      <c r="A5" t="s">
        <v>43</v>
      </c>
      <c r="B5">
        <v>425</v>
      </c>
      <c r="C5">
        <v>120.90600000000001</v>
      </c>
    </row>
    <row r="6" spans="1:3" hidden="1" x14ac:dyDescent="0.25">
      <c r="A6" t="s">
        <v>35</v>
      </c>
      <c r="B6">
        <v>30</v>
      </c>
      <c r="C6">
        <v>111.072</v>
      </c>
    </row>
    <row r="7" spans="1:3" hidden="1" x14ac:dyDescent="0.25">
      <c r="A7" t="s">
        <v>41</v>
      </c>
      <c r="B7">
        <v>-2.14</v>
      </c>
      <c r="C7">
        <v>119.986</v>
      </c>
    </row>
    <row r="8" spans="1:3" hidden="1" x14ac:dyDescent="0.25">
      <c r="A8" t="s">
        <v>12</v>
      </c>
      <c r="B8">
        <v>-215</v>
      </c>
      <c r="C8">
        <v>120.968</v>
      </c>
    </row>
    <row r="9" spans="1:3" hidden="1" x14ac:dyDescent="0.25">
      <c r="A9" t="s">
        <v>37</v>
      </c>
      <c r="B9">
        <v>-3.7050000000000001</v>
      </c>
      <c r="C9">
        <v>120.392</v>
      </c>
    </row>
    <row r="10" spans="1:3" hidden="1" x14ac:dyDescent="0.25">
      <c r="A10" t="s">
        <v>16</v>
      </c>
      <c r="B10">
        <v>-25</v>
      </c>
      <c r="C10">
        <v>121.05800000000001</v>
      </c>
    </row>
    <row r="11" spans="1:3" x14ac:dyDescent="0.25">
      <c r="A11" t="s">
        <v>17</v>
      </c>
      <c r="B11">
        <v>-40</v>
      </c>
      <c r="C11">
        <v>121.15600000000001</v>
      </c>
    </row>
    <row r="12" spans="1:3" hidden="1" x14ac:dyDescent="0.25">
      <c r="A12" t="s">
        <v>9</v>
      </c>
      <c r="B12">
        <v>-385</v>
      </c>
      <c r="C12">
        <v>120.346</v>
      </c>
    </row>
    <row r="13" spans="1:3" x14ac:dyDescent="0.25">
      <c r="A13" t="s">
        <v>33</v>
      </c>
      <c r="B13">
        <v>1020</v>
      </c>
      <c r="C13">
        <v>120.30800000000001</v>
      </c>
    </row>
    <row r="14" spans="1:3" hidden="1" x14ac:dyDescent="0.25">
      <c r="A14" t="s">
        <v>13</v>
      </c>
      <c r="B14">
        <v>5</v>
      </c>
      <c r="C14">
        <v>115.62</v>
      </c>
    </row>
    <row r="15" spans="1:3" hidden="1" x14ac:dyDescent="0.25">
      <c r="A15" t="s">
        <v>32</v>
      </c>
      <c r="B15">
        <v>-5</v>
      </c>
      <c r="C15">
        <v>121.51</v>
      </c>
    </row>
    <row r="16" spans="1:3" hidden="1" x14ac:dyDescent="0.25">
      <c r="A16" t="s">
        <v>19</v>
      </c>
      <c r="B16">
        <v>-10</v>
      </c>
      <c r="C16">
        <v>130.16499999999999</v>
      </c>
    </row>
    <row r="17" spans="1:3" hidden="1" x14ac:dyDescent="0.25">
      <c r="A17" t="s">
        <v>40</v>
      </c>
      <c r="B17">
        <v>1.31</v>
      </c>
      <c r="C17">
        <v>120.69199999999999</v>
      </c>
    </row>
    <row r="18" spans="1:3" hidden="1" x14ac:dyDescent="0.25">
      <c r="A18" t="s">
        <v>25</v>
      </c>
      <c r="B18">
        <v>-100</v>
      </c>
      <c r="C18">
        <v>120.688</v>
      </c>
    </row>
    <row r="19" spans="1:3" hidden="1" x14ac:dyDescent="0.25">
      <c r="A19" t="s">
        <v>39</v>
      </c>
      <c r="B19">
        <v>265</v>
      </c>
      <c r="C19">
        <v>119.675</v>
      </c>
    </row>
    <row r="20" spans="1:3" x14ac:dyDescent="0.25">
      <c r="A20" t="s">
        <v>7</v>
      </c>
      <c r="B20">
        <v>1005</v>
      </c>
      <c r="C20">
        <v>120.518</v>
      </c>
    </row>
    <row r="21" spans="1:3" x14ac:dyDescent="0.25">
      <c r="A21" t="s">
        <v>42</v>
      </c>
      <c r="B21">
        <v>-200</v>
      </c>
      <c r="C21">
        <v>120.715</v>
      </c>
    </row>
    <row r="22" spans="1:3" hidden="1" x14ac:dyDescent="0.25">
      <c r="A22" t="s">
        <v>29</v>
      </c>
      <c r="B22">
        <v>20</v>
      </c>
      <c r="C22">
        <v>122.133</v>
      </c>
    </row>
    <row r="23" spans="1:3" hidden="1" x14ac:dyDescent="0.25">
      <c r="A23" t="s">
        <v>38</v>
      </c>
      <c r="B23">
        <v>-3.91</v>
      </c>
      <c r="C23">
        <v>120.389</v>
      </c>
    </row>
    <row r="24" spans="1:3" x14ac:dyDescent="0.25">
      <c r="A24" t="s">
        <v>44</v>
      </c>
      <c r="B24">
        <v>935</v>
      </c>
      <c r="C24">
        <v>120.441</v>
      </c>
    </row>
    <row r="25" spans="1:3" hidden="1" x14ac:dyDescent="0.25">
      <c r="A25" t="s">
        <v>20</v>
      </c>
      <c r="B25">
        <v>-195</v>
      </c>
      <c r="C25">
        <v>121.458</v>
      </c>
    </row>
    <row r="26" spans="1:3" hidden="1" x14ac:dyDescent="0.25">
      <c r="A26" t="s">
        <v>36</v>
      </c>
      <c r="B26">
        <v>345</v>
      </c>
      <c r="C26">
        <v>119.535</v>
      </c>
    </row>
    <row r="27" spans="1:3" hidden="1" x14ac:dyDescent="0.25">
      <c r="A27" t="s">
        <v>31</v>
      </c>
      <c r="B27">
        <v>25</v>
      </c>
      <c r="C27">
        <v>120.07299999999999</v>
      </c>
    </row>
    <row r="28" spans="1:3" hidden="1" x14ac:dyDescent="0.25">
      <c r="A28" t="s">
        <v>26</v>
      </c>
      <c r="B28">
        <v>80</v>
      </c>
      <c r="C28">
        <v>120</v>
      </c>
    </row>
    <row r="29" spans="1:3" hidden="1" x14ac:dyDescent="0.25">
      <c r="A29" t="s">
        <v>46</v>
      </c>
      <c r="B29">
        <v>655</v>
      </c>
      <c r="C29">
        <v>120.374</v>
      </c>
    </row>
    <row r="30" spans="1:3" hidden="1" x14ac:dyDescent="0.25">
      <c r="A30" t="s">
        <v>18</v>
      </c>
      <c r="B30">
        <v>10</v>
      </c>
      <c r="C30">
        <v>119.663</v>
      </c>
    </row>
    <row r="31" spans="1:3" hidden="1" x14ac:dyDescent="0.25">
      <c r="A31" t="s">
        <v>11</v>
      </c>
      <c r="B31">
        <v>35</v>
      </c>
      <c r="C31">
        <v>119.852</v>
      </c>
    </row>
    <row r="32" spans="1:3" hidden="1" x14ac:dyDescent="0.25">
      <c r="A32" t="s">
        <v>30</v>
      </c>
      <c r="B32">
        <v>20</v>
      </c>
      <c r="C32">
        <v>118.883</v>
      </c>
    </row>
    <row r="33" spans="1:3" hidden="1" x14ac:dyDescent="0.25">
      <c r="A33" t="s">
        <v>15</v>
      </c>
      <c r="B33">
        <v>-105</v>
      </c>
      <c r="C33">
        <v>116.17700000000001</v>
      </c>
    </row>
    <row r="34" spans="1:3" x14ac:dyDescent="0.25">
      <c r="A34" t="s">
        <v>28</v>
      </c>
      <c r="B34">
        <v>415</v>
      </c>
      <c r="C34">
        <v>120.2</v>
      </c>
    </row>
    <row r="35" spans="1:3" x14ac:dyDescent="0.25">
      <c r="A35" t="s">
        <v>8</v>
      </c>
      <c r="B35">
        <v>1090</v>
      </c>
      <c r="C35">
        <v>120.983</v>
      </c>
    </row>
    <row r="36" spans="1:3" hidden="1" x14ac:dyDescent="0.25">
      <c r="A36" t="s">
        <v>6</v>
      </c>
      <c r="B36">
        <v>3.57</v>
      </c>
      <c r="C36">
        <v>120.139</v>
      </c>
    </row>
  </sheetData>
  <autoFilter ref="A3:C36" xr:uid="{E360624E-3B04-48A3-B944-6EFC607B82FF}">
    <filterColumn colId="0">
      <filters>
        <filter val="Credit"/>
        <filter val="Goldman"/>
        <filter val="JP Morgan"/>
        <filter val="Merrill"/>
        <filter val="Morgan"/>
        <filter val="Tullett"/>
        <filter val="UBS"/>
      </filters>
    </filterColumn>
  </autoFilter>
  <pageMargins left="0.511811024" right="0.511811024" top="0.78740157499999996" bottom="0.78740157499999996" header="0.31496062000000002" footer="0.3149606200000000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AFB7F6-F0B1-42A5-A50A-88BB9E9E9054}">
  <sheetPr codeName="Planilha43" filterMode="1"/>
  <dimension ref="A1:C44"/>
  <sheetViews>
    <sheetView workbookViewId="0">
      <selection activeCell="B45" sqref="B45"/>
    </sheetView>
  </sheetViews>
  <sheetFormatPr defaultRowHeight="15" x14ac:dyDescent="0.25"/>
  <sheetData>
    <row r="1" spans="1:3" x14ac:dyDescent="0.25">
      <c r="A1" t="s">
        <v>49</v>
      </c>
    </row>
    <row r="2" spans="1:3" x14ac:dyDescent="0.25">
      <c r="A2">
        <f>_xlfn.AGGREGATE(9,5,A4:B70)</f>
        <v>-32489</v>
      </c>
    </row>
    <row r="3" spans="1:3" x14ac:dyDescent="0.25">
      <c r="A3" t="s">
        <v>3</v>
      </c>
      <c r="B3" t="s">
        <v>4</v>
      </c>
      <c r="C3" t="s">
        <v>5</v>
      </c>
    </row>
    <row r="4" spans="1:3" hidden="1" x14ac:dyDescent="0.25">
      <c r="A4" t="s">
        <v>21</v>
      </c>
      <c r="B4">
        <v>99</v>
      </c>
      <c r="C4">
        <v>119.95399999999999</v>
      </c>
    </row>
    <row r="5" spans="1:3" hidden="1" x14ac:dyDescent="0.25">
      <c r="A5" t="s">
        <v>14</v>
      </c>
      <c r="B5">
        <v>-3.0750000000000002</v>
      </c>
      <c r="C5">
        <v>121.02</v>
      </c>
    </row>
    <row r="6" spans="1:3" hidden="1" x14ac:dyDescent="0.25">
      <c r="A6" t="s">
        <v>43</v>
      </c>
      <c r="B6">
        <v>482</v>
      </c>
      <c r="C6">
        <v>117.437</v>
      </c>
    </row>
    <row r="7" spans="1:3" hidden="1" x14ac:dyDescent="0.25">
      <c r="A7" t="s">
        <v>35</v>
      </c>
      <c r="B7">
        <v>-9.2140000000000004</v>
      </c>
      <c r="C7">
        <v>120.76300000000001</v>
      </c>
    </row>
    <row r="8" spans="1:3" hidden="1" x14ac:dyDescent="0.25">
      <c r="A8" t="s">
        <v>41</v>
      </c>
      <c r="B8">
        <v>6.5129999999999999</v>
      </c>
      <c r="C8">
        <v>120.70099999999999</v>
      </c>
    </row>
    <row r="9" spans="1:3" hidden="1" x14ac:dyDescent="0.25">
      <c r="A9" t="s">
        <v>12</v>
      </c>
      <c r="B9">
        <v>2.919</v>
      </c>
      <c r="C9">
        <v>120.393</v>
      </c>
    </row>
    <row r="10" spans="1:3" hidden="1" x14ac:dyDescent="0.25">
      <c r="A10" t="s">
        <v>37</v>
      </c>
      <c r="B10">
        <v>25.518000000000001</v>
      </c>
      <c r="C10">
        <v>120.404</v>
      </c>
    </row>
    <row r="11" spans="1:3" hidden="1" x14ac:dyDescent="0.25">
      <c r="A11" t="s">
        <v>16</v>
      </c>
      <c r="B11">
        <v>266</v>
      </c>
      <c r="C11">
        <v>124.77</v>
      </c>
    </row>
    <row r="12" spans="1:3" x14ac:dyDescent="0.25">
      <c r="A12" t="s">
        <v>17</v>
      </c>
      <c r="B12">
        <v>136</v>
      </c>
      <c r="C12">
        <v>137.61799999999999</v>
      </c>
    </row>
    <row r="13" spans="1:3" hidden="1" x14ac:dyDescent="0.25">
      <c r="A13" t="s">
        <v>34</v>
      </c>
      <c r="B13">
        <v>1.21</v>
      </c>
      <c r="C13">
        <v>120.06699999999999</v>
      </c>
    </row>
    <row r="14" spans="1:3" hidden="1" x14ac:dyDescent="0.25">
      <c r="A14" t="s">
        <v>23</v>
      </c>
      <c r="B14">
        <v>-1</v>
      </c>
      <c r="C14" t="s">
        <v>175</v>
      </c>
    </row>
    <row r="15" spans="1:3" hidden="1" x14ac:dyDescent="0.25">
      <c r="A15" t="s">
        <v>22</v>
      </c>
      <c r="B15">
        <v>1</v>
      </c>
      <c r="C15">
        <v>121.32</v>
      </c>
    </row>
    <row r="16" spans="1:3" hidden="1" x14ac:dyDescent="0.25">
      <c r="A16" t="s">
        <v>9</v>
      </c>
      <c r="B16">
        <v>-830</v>
      </c>
      <c r="C16">
        <v>117.821</v>
      </c>
    </row>
    <row r="17" spans="1:3" x14ac:dyDescent="0.25">
      <c r="A17" t="s">
        <v>33</v>
      </c>
      <c r="B17">
        <v>-6290</v>
      </c>
      <c r="C17">
        <v>120.527</v>
      </c>
    </row>
    <row r="18" spans="1:3" hidden="1" x14ac:dyDescent="0.25">
      <c r="A18" t="s">
        <v>13</v>
      </c>
      <c r="B18">
        <v>7.8920000000000003</v>
      </c>
      <c r="C18">
        <v>120.69</v>
      </c>
    </row>
    <row r="19" spans="1:3" hidden="1" x14ac:dyDescent="0.25">
      <c r="A19" t="s">
        <v>32</v>
      </c>
      <c r="B19">
        <v>697</v>
      </c>
      <c r="C19">
        <v>120.24299999999999</v>
      </c>
    </row>
    <row r="20" spans="1:3" hidden="1" x14ac:dyDescent="0.25">
      <c r="A20" t="s">
        <v>19</v>
      </c>
      <c r="B20">
        <v>93</v>
      </c>
      <c r="C20">
        <v>120.28700000000001</v>
      </c>
    </row>
    <row r="21" spans="1:3" hidden="1" x14ac:dyDescent="0.25">
      <c r="A21" t="s">
        <v>40</v>
      </c>
      <c r="B21">
        <v>-11.271000000000001</v>
      </c>
      <c r="C21">
        <v>120.813</v>
      </c>
    </row>
    <row r="22" spans="1:3" hidden="1" x14ac:dyDescent="0.25">
      <c r="A22" t="s">
        <v>27</v>
      </c>
      <c r="B22">
        <v>18</v>
      </c>
      <c r="C22">
        <v>122.301</v>
      </c>
    </row>
    <row r="23" spans="1:3" hidden="1" x14ac:dyDescent="0.25">
      <c r="A23" t="s">
        <v>25</v>
      </c>
      <c r="B23">
        <v>-37</v>
      </c>
      <c r="C23">
        <v>120.29300000000001</v>
      </c>
    </row>
    <row r="24" spans="1:3" hidden="1" x14ac:dyDescent="0.25">
      <c r="A24" t="s">
        <v>39</v>
      </c>
      <c r="B24">
        <v>-2.9809999999999999</v>
      </c>
      <c r="C24">
        <v>120.479</v>
      </c>
    </row>
    <row r="25" spans="1:3" x14ac:dyDescent="0.25">
      <c r="A25" t="s">
        <v>7</v>
      </c>
      <c r="B25">
        <v>-3347</v>
      </c>
      <c r="C25">
        <v>120.91800000000001</v>
      </c>
    </row>
    <row r="26" spans="1:3" x14ac:dyDescent="0.25">
      <c r="A26" t="s">
        <v>42</v>
      </c>
      <c r="B26">
        <v>6641</v>
      </c>
      <c r="C26">
        <v>120.309</v>
      </c>
    </row>
    <row r="27" spans="1:3" hidden="1" x14ac:dyDescent="0.25">
      <c r="A27" t="s">
        <v>29</v>
      </c>
      <c r="B27">
        <v>-276</v>
      </c>
      <c r="C27">
        <v>120.925</v>
      </c>
    </row>
    <row r="28" spans="1:3" hidden="1" x14ac:dyDescent="0.25">
      <c r="A28" t="s">
        <v>38</v>
      </c>
      <c r="B28">
        <v>17.210999999999999</v>
      </c>
      <c r="C28">
        <v>120.51300000000001</v>
      </c>
    </row>
    <row r="29" spans="1:3" x14ac:dyDescent="0.25">
      <c r="A29" t="s">
        <v>44</v>
      </c>
      <c r="B29">
        <v>-16495</v>
      </c>
      <c r="C29">
        <v>120.285</v>
      </c>
    </row>
    <row r="30" spans="1:3" hidden="1" x14ac:dyDescent="0.25">
      <c r="A30" t="s">
        <v>20</v>
      </c>
      <c r="B30">
        <v>-2.069</v>
      </c>
      <c r="C30">
        <v>118.998</v>
      </c>
    </row>
    <row r="31" spans="1:3" hidden="1" x14ac:dyDescent="0.25">
      <c r="A31" t="s">
        <v>36</v>
      </c>
      <c r="B31">
        <v>219</v>
      </c>
      <c r="C31">
        <v>116.336</v>
      </c>
    </row>
    <row r="32" spans="1:3" hidden="1" x14ac:dyDescent="0.25">
      <c r="A32" t="s">
        <v>31</v>
      </c>
      <c r="B32">
        <v>-64</v>
      </c>
      <c r="C32">
        <v>121.871</v>
      </c>
    </row>
    <row r="33" spans="1:3" hidden="1" x14ac:dyDescent="0.25">
      <c r="A33" t="s">
        <v>26</v>
      </c>
      <c r="B33">
        <v>8</v>
      </c>
      <c r="C33">
        <v>115.66800000000001</v>
      </c>
    </row>
    <row r="34" spans="1:3" hidden="1" x14ac:dyDescent="0.25">
      <c r="A34" t="s">
        <v>46</v>
      </c>
      <c r="B34">
        <v>303</v>
      </c>
      <c r="C34">
        <v>120.129</v>
      </c>
    </row>
    <row r="35" spans="1:3" hidden="1" x14ac:dyDescent="0.25">
      <c r="A35" t="s">
        <v>18</v>
      </c>
      <c r="B35">
        <v>214</v>
      </c>
      <c r="C35">
        <v>128.63499999999999</v>
      </c>
    </row>
    <row r="36" spans="1:3" hidden="1" x14ac:dyDescent="0.25">
      <c r="A36" t="s">
        <v>24</v>
      </c>
      <c r="B36">
        <v>-3</v>
      </c>
      <c r="C36">
        <v>647.70699999999999</v>
      </c>
    </row>
    <row r="37" spans="1:3" hidden="1" x14ac:dyDescent="0.25">
      <c r="A37" t="s">
        <v>11</v>
      </c>
      <c r="B37">
        <v>1.425</v>
      </c>
      <c r="C37">
        <v>119.479</v>
      </c>
    </row>
    <row r="38" spans="1:3" hidden="1" x14ac:dyDescent="0.25">
      <c r="A38" t="s">
        <v>30</v>
      </c>
      <c r="B38">
        <v>-44</v>
      </c>
      <c r="C38">
        <v>121.54300000000001</v>
      </c>
    </row>
    <row r="39" spans="1:3" hidden="1" x14ac:dyDescent="0.25">
      <c r="A39" t="s">
        <v>15</v>
      </c>
      <c r="B39">
        <v>-292</v>
      </c>
      <c r="C39">
        <v>127.07599999999999</v>
      </c>
    </row>
    <row r="40" spans="1:3" hidden="1" x14ac:dyDescent="0.25">
      <c r="A40" t="s">
        <v>10</v>
      </c>
      <c r="B40">
        <v>2.75</v>
      </c>
      <c r="C40">
        <v>120.624</v>
      </c>
    </row>
    <row r="41" spans="1:3" x14ac:dyDescent="0.25">
      <c r="A41" t="s">
        <v>28</v>
      </c>
      <c r="B41">
        <v>-6871</v>
      </c>
      <c r="C41">
        <v>120.422</v>
      </c>
    </row>
    <row r="42" spans="1:3" x14ac:dyDescent="0.25">
      <c r="A42" t="s">
        <v>8</v>
      </c>
      <c r="B42">
        <v>-6263</v>
      </c>
      <c r="C42">
        <v>119.794</v>
      </c>
    </row>
    <row r="43" spans="1:3" hidden="1" x14ac:dyDescent="0.25">
      <c r="A43" t="s">
        <v>45</v>
      </c>
      <c r="B43">
        <v>-45</v>
      </c>
      <c r="C43">
        <v>120.57299999999999</v>
      </c>
    </row>
    <row r="44" spans="1:3" hidden="1" x14ac:dyDescent="0.25">
      <c r="A44" t="s">
        <v>6</v>
      </c>
      <c r="B44">
        <v>-5.1470000000000002</v>
      </c>
      <c r="C44">
        <v>120.13500000000001</v>
      </c>
    </row>
  </sheetData>
  <autoFilter ref="A3:C44" xr:uid="{88AFB7F6-F0B1-42A5-A50A-88BB9E9E9054}">
    <filterColumn colId="0">
      <filters>
        <filter val="Credit"/>
        <filter val="Goldman"/>
        <filter val="JP Morgan"/>
        <filter val="Merrill"/>
        <filter val="Morgan"/>
        <filter val="Tullett"/>
        <filter val="UBS"/>
      </filters>
    </filterColumn>
  </autoFilter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134223-9CE4-4866-A1F1-B3BD8D4D487D}">
  <sheetPr codeName="Planilha44" filterMode="1"/>
  <dimension ref="A1:C40"/>
  <sheetViews>
    <sheetView workbookViewId="0">
      <selection activeCell="A3" sqref="A3:C3"/>
    </sheetView>
  </sheetViews>
  <sheetFormatPr defaultRowHeight="15" x14ac:dyDescent="0.25"/>
  <sheetData>
    <row r="1" spans="1:3" x14ac:dyDescent="0.25">
      <c r="A1" t="s">
        <v>49</v>
      </c>
    </row>
    <row r="2" spans="1:3" x14ac:dyDescent="0.25">
      <c r="A2">
        <f>_xlfn.AGGREGATE(9,5,A4:B70)</f>
        <v>1310</v>
      </c>
    </row>
    <row r="3" spans="1:3" x14ac:dyDescent="0.25">
      <c r="A3" t="s">
        <v>3</v>
      </c>
      <c r="B3" t="s">
        <v>4</v>
      </c>
      <c r="C3" t="s">
        <v>5</v>
      </c>
    </row>
    <row r="4" spans="1:3" hidden="1" x14ac:dyDescent="0.25">
      <c r="A4" t="s">
        <v>21</v>
      </c>
      <c r="B4">
        <v>-50</v>
      </c>
      <c r="C4">
        <v>120.67700000000001</v>
      </c>
    </row>
    <row r="5" spans="1:3" hidden="1" x14ac:dyDescent="0.25">
      <c r="A5" t="s">
        <v>14</v>
      </c>
      <c r="B5">
        <v>580</v>
      </c>
      <c r="C5">
        <v>120.874</v>
      </c>
    </row>
    <row r="6" spans="1:3" hidden="1" x14ac:dyDescent="0.25">
      <c r="A6" t="s">
        <v>43</v>
      </c>
      <c r="B6">
        <v>-1.49</v>
      </c>
      <c r="C6">
        <v>121.467</v>
      </c>
    </row>
    <row r="7" spans="1:3" hidden="1" x14ac:dyDescent="0.25">
      <c r="A7" t="s">
        <v>35</v>
      </c>
      <c r="B7">
        <v>-395</v>
      </c>
      <c r="C7">
        <v>120.276</v>
      </c>
    </row>
    <row r="8" spans="1:3" hidden="1" x14ac:dyDescent="0.25">
      <c r="A8" t="s">
        <v>41</v>
      </c>
      <c r="B8">
        <v>1.585</v>
      </c>
      <c r="C8">
        <v>119.976</v>
      </c>
    </row>
    <row r="9" spans="1:3" hidden="1" x14ac:dyDescent="0.25">
      <c r="A9" t="s">
        <v>12</v>
      </c>
      <c r="B9">
        <v>-150</v>
      </c>
      <c r="C9">
        <v>120.551</v>
      </c>
    </row>
    <row r="10" spans="1:3" hidden="1" x14ac:dyDescent="0.25">
      <c r="A10" t="s">
        <v>37</v>
      </c>
      <c r="B10">
        <v>-2.29</v>
      </c>
      <c r="C10">
        <v>120.80500000000001</v>
      </c>
    </row>
    <row r="11" spans="1:3" hidden="1" x14ac:dyDescent="0.25">
      <c r="A11" t="s">
        <v>16</v>
      </c>
      <c r="B11">
        <v>70</v>
      </c>
      <c r="C11">
        <v>121.369</v>
      </c>
    </row>
    <row r="12" spans="1:3" x14ac:dyDescent="0.25">
      <c r="A12" t="s">
        <v>17</v>
      </c>
      <c r="B12">
        <v>-390</v>
      </c>
      <c r="C12">
        <v>120.214</v>
      </c>
    </row>
    <row r="13" spans="1:3" hidden="1" x14ac:dyDescent="0.25">
      <c r="A13" t="s">
        <v>22</v>
      </c>
      <c r="B13">
        <v>-20</v>
      </c>
      <c r="C13">
        <v>120.05800000000001</v>
      </c>
    </row>
    <row r="14" spans="1:3" hidden="1" x14ac:dyDescent="0.25">
      <c r="A14" t="s">
        <v>9</v>
      </c>
      <c r="B14">
        <v>20</v>
      </c>
      <c r="C14">
        <v>106.571</v>
      </c>
    </row>
    <row r="15" spans="1:3" x14ac:dyDescent="0.25">
      <c r="A15" t="s">
        <v>33</v>
      </c>
      <c r="B15">
        <v>160</v>
      </c>
      <c r="C15">
        <v>120.84099999999999</v>
      </c>
    </row>
    <row r="16" spans="1:3" hidden="1" x14ac:dyDescent="0.25">
      <c r="A16" t="s">
        <v>13</v>
      </c>
      <c r="B16">
        <v>-190</v>
      </c>
      <c r="C16">
        <v>120.944</v>
      </c>
    </row>
    <row r="17" spans="1:3" hidden="1" x14ac:dyDescent="0.25">
      <c r="A17" t="s">
        <v>32</v>
      </c>
      <c r="B17">
        <v>60</v>
      </c>
      <c r="C17">
        <v>121.149</v>
      </c>
    </row>
    <row r="18" spans="1:3" hidden="1" x14ac:dyDescent="0.25">
      <c r="A18" t="s">
        <v>19</v>
      </c>
      <c r="B18">
        <v>-10</v>
      </c>
      <c r="C18">
        <v>122.383</v>
      </c>
    </row>
    <row r="19" spans="1:3" hidden="1" x14ac:dyDescent="0.25">
      <c r="A19" t="s">
        <v>40</v>
      </c>
      <c r="B19">
        <v>3.7450000000000001</v>
      </c>
      <c r="C19">
        <v>120.97199999999999</v>
      </c>
    </row>
    <row r="20" spans="1:3" hidden="1" x14ac:dyDescent="0.25">
      <c r="A20" t="s">
        <v>25</v>
      </c>
      <c r="B20">
        <v>15</v>
      </c>
      <c r="C20">
        <v>120.605</v>
      </c>
    </row>
    <row r="21" spans="1:3" hidden="1" x14ac:dyDescent="0.25">
      <c r="A21" t="s">
        <v>39</v>
      </c>
      <c r="B21">
        <v>1.65</v>
      </c>
      <c r="C21">
        <v>121.09099999999999</v>
      </c>
    </row>
    <row r="22" spans="1:3" x14ac:dyDescent="0.25">
      <c r="A22" t="s">
        <v>7</v>
      </c>
      <c r="B22">
        <v>560</v>
      </c>
      <c r="C22">
        <v>120.672</v>
      </c>
    </row>
    <row r="23" spans="1:3" x14ac:dyDescent="0.25">
      <c r="A23" t="s">
        <v>42</v>
      </c>
      <c r="B23">
        <v>45</v>
      </c>
      <c r="C23">
        <v>119.917</v>
      </c>
    </row>
    <row r="24" spans="1:3" hidden="1" x14ac:dyDescent="0.25">
      <c r="A24" t="s">
        <v>29</v>
      </c>
      <c r="B24">
        <v>20</v>
      </c>
      <c r="C24">
        <v>122.491</v>
      </c>
    </row>
    <row r="25" spans="1:3" hidden="1" x14ac:dyDescent="0.25">
      <c r="A25" t="s">
        <v>38</v>
      </c>
      <c r="B25">
        <v>250</v>
      </c>
      <c r="C25">
        <v>120.717</v>
      </c>
    </row>
    <row r="26" spans="1:3" x14ac:dyDescent="0.25">
      <c r="A26" t="s">
        <v>44</v>
      </c>
      <c r="B26">
        <v>395</v>
      </c>
      <c r="C26">
        <v>120.819</v>
      </c>
    </row>
    <row r="27" spans="1:3" hidden="1" x14ac:dyDescent="0.25">
      <c r="A27" t="s">
        <v>20</v>
      </c>
      <c r="B27">
        <v>-665</v>
      </c>
      <c r="C27">
        <v>120.569</v>
      </c>
    </row>
    <row r="28" spans="1:3" hidden="1" x14ac:dyDescent="0.25">
      <c r="A28" t="s">
        <v>36</v>
      </c>
      <c r="B28">
        <v>-940</v>
      </c>
      <c r="C28">
        <v>119.405</v>
      </c>
    </row>
    <row r="29" spans="1:3" hidden="1" x14ac:dyDescent="0.25">
      <c r="A29" t="s">
        <v>31</v>
      </c>
      <c r="B29">
        <v>-10</v>
      </c>
      <c r="C29">
        <v>124.01</v>
      </c>
    </row>
    <row r="30" spans="1:3" hidden="1" x14ac:dyDescent="0.25">
      <c r="A30" t="s">
        <v>26</v>
      </c>
      <c r="B30">
        <v>-80</v>
      </c>
      <c r="C30">
        <v>120.822</v>
      </c>
    </row>
    <row r="31" spans="1:3" hidden="1" x14ac:dyDescent="0.25">
      <c r="A31" t="s">
        <v>46</v>
      </c>
      <c r="B31">
        <v>-835</v>
      </c>
      <c r="C31">
        <v>120.9</v>
      </c>
    </row>
    <row r="32" spans="1:3" hidden="1" x14ac:dyDescent="0.25">
      <c r="A32" t="s">
        <v>18</v>
      </c>
      <c r="B32">
        <v>-15</v>
      </c>
      <c r="C32">
        <v>120.455</v>
      </c>
    </row>
    <row r="33" spans="1:3" hidden="1" x14ac:dyDescent="0.25">
      <c r="A33" t="s">
        <v>24</v>
      </c>
      <c r="B33">
        <v>-10</v>
      </c>
      <c r="C33">
        <v>120.563</v>
      </c>
    </row>
    <row r="34" spans="1:3" hidden="1" x14ac:dyDescent="0.25">
      <c r="A34" t="s">
        <v>11</v>
      </c>
      <c r="B34">
        <v>-60</v>
      </c>
      <c r="C34">
        <v>121.33499999999999</v>
      </c>
    </row>
    <row r="35" spans="1:3" hidden="1" x14ac:dyDescent="0.25">
      <c r="A35" t="s">
        <v>30</v>
      </c>
      <c r="B35">
        <v>-30</v>
      </c>
      <c r="C35">
        <v>120.947</v>
      </c>
    </row>
    <row r="36" spans="1:3" hidden="1" x14ac:dyDescent="0.25">
      <c r="A36" t="s">
        <v>15</v>
      </c>
      <c r="B36">
        <v>-80</v>
      </c>
      <c r="C36">
        <v>119.69199999999999</v>
      </c>
    </row>
    <row r="37" spans="1:3" x14ac:dyDescent="0.25">
      <c r="A37" t="s">
        <v>28</v>
      </c>
      <c r="B37">
        <v>865</v>
      </c>
      <c r="C37">
        <v>120.52</v>
      </c>
    </row>
    <row r="38" spans="1:3" x14ac:dyDescent="0.25">
      <c r="A38" t="s">
        <v>8</v>
      </c>
      <c r="B38">
        <v>-325</v>
      </c>
      <c r="C38">
        <v>122.117</v>
      </c>
    </row>
    <row r="39" spans="1:3" hidden="1" x14ac:dyDescent="0.25">
      <c r="A39" t="s">
        <v>45</v>
      </c>
      <c r="B39">
        <v>-300</v>
      </c>
      <c r="C39">
        <v>120.431</v>
      </c>
    </row>
    <row r="40" spans="1:3" hidden="1" x14ac:dyDescent="0.25">
      <c r="A40" t="s">
        <v>6</v>
      </c>
      <c r="B40">
        <v>-1.6850000000000001</v>
      </c>
      <c r="C40">
        <v>120.708</v>
      </c>
    </row>
  </sheetData>
  <autoFilter ref="A3:C40" xr:uid="{6D134223-9CE4-4866-A1F1-B3BD8D4D487D}">
    <filterColumn colId="0">
      <filters>
        <filter val="Credit"/>
        <filter val="Goldman"/>
        <filter val="JP Morgan"/>
        <filter val="Merrill"/>
        <filter val="Morgan"/>
        <filter val="Tullett"/>
        <filter val="UBS"/>
      </filters>
    </filterColumn>
  </autoFilter>
  <pageMargins left="0.511811024" right="0.511811024" top="0.78740157499999996" bottom="0.78740157499999996" header="0.31496062000000002" footer="0.3149606200000000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154FD-06E4-4BB1-A9DF-7277E95B6882}">
  <sheetPr codeName="Planilha45" filterMode="1"/>
  <dimension ref="A1:C45"/>
  <sheetViews>
    <sheetView workbookViewId="0">
      <selection activeCell="B46" sqref="B46"/>
    </sheetView>
  </sheetViews>
  <sheetFormatPr defaultRowHeight="15" x14ac:dyDescent="0.25"/>
  <sheetData>
    <row r="1" spans="1:3" x14ac:dyDescent="0.25">
      <c r="A1" t="s">
        <v>49</v>
      </c>
    </row>
    <row r="2" spans="1:3" x14ac:dyDescent="0.25">
      <c r="A2">
        <f>_xlfn.AGGREGATE(9,5,A4:B70)</f>
        <v>49608</v>
      </c>
    </row>
    <row r="3" spans="1:3" x14ac:dyDescent="0.25">
      <c r="A3" t="s">
        <v>3</v>
      </c>
      <c r="B3" t="s">
        <v>4</v>
      </c>
      <c r="C3" t="s">
        <v>5</v>
      </c>
    </row>
    <row r="4" spans="1:3" hidden="1" x14ac:dyDescent="0.25">
      <c r="A4" t="s">
        <v>37</v>
      </c>
      <c r="B4">
        <v>15.473000000000001</v>
      </c>
      <c r="C4">
        <v>120.45</v>
      </c>
    </row>
    <row r="5" spans="1:3" x14ac:dyDescent="0.25">
      <c r="A5" t="s">
        <v>44</v>
      </c>
      <c r="B5">
        <v>15449</v>
      </c>
      <c r="C5">
        <v>120.188</v>
      </c>
    </row>
    <row r="6" spans="1:3" x14ac:dyDescent="0.25">
      <c r="A6" t="s">
        <v>8</v>
      </c>
      <c r="B6">
        <v>15334</v>
      </c>
      <c r="C6">
        <v>120.321</v>
      </c>
    </row>
    <row r="7" spans="1:3" x14ac:dyDescent="0.25">
      <c r="A7" t="s">
        <v>17</v>
      </c>
      <c r="B7">
        <v>11855</v>
      </c>
      <c r="C7">
        <v>120.354</v>
      </c>
    </row>
    <row r="8" spans="1:3" hidden="1" x14ac:dyDescent="0.25">
      <c r="A8" t="s">
        <v>24</v>
      </c>
      <c r="B8">
        <v>5.9829999999999997</v>
      </c>
      <c r="C8">
        <v>120.744</v>
      </c>
    </row>
    <row r="9" spans="1:3" x14ac:dyDescent="0.25">
      <c r="A9" t="s">
        <v>7</v>
      </c>
      <c r="B9">
        <v>5119</v>
      </c>
      <c r="C9">
        <v>119.523</v>
      </c>
    </row>
    <row r="10" spans="1:3" hidden="1" x14ac:dyDescent="0.25">
      <c r="A10" t="s">
        <v>10</v>
      </c>
      <c r="B10">
        <v>4.8049999999999997</v>
      </c>
      <c r="C10">
        <v>120.88</v>
      </c>
    </row>
    <row r="11" spans="1:3" x14ac:dyDescent="0.25">
      <c r="A11" t="s">
        <v>33</v>
      </c>
      <c r="B11">
        <v>3704</v>
      </c>
      <c r="C11">
        <v>121.346</v>
      </c>
    </row>
    <row r="12" spans="1:3" hidden="1" x14ac:dyDescent="0.25">
      <c r="A12" t="s">
        <v>34</v>
      </c>
      <c r="B12">
        <v>3.6739999999999999</v>
      </c>
      <c r="C12">
        <v>120.71599999999999</v>
      </c>
    </row>
    <row r="13" spans="1:3" hidden="1" x14ac:dyDescent="0.25">
      <c r="A13" t="s">
        <v>29</v>
      </c>
      <c r="B13">
        <v>2.919</v>
      </c>
      <c r="C13">
        <v>119.983</v>
      </c>
    </row>
    <row r="14" spans="1:3" hidden="1" x14ac:dyDescent="0.25">
      <c r="A14" t="s">
        <v>35</v>
      </c>
      <c r="B14">
        <v>2.7040000000000002</v>
      </c>
      <c r="C14">
        <v>121.081</v>
      </c>
    </row>
    <row r="15" spans="1:3" x14ac:dyDescent="0.25">
      <c r="A15" t="s">
        <v>28</v>
      </c>
      <c r="B15">
        <v>898</v>
      </c>
      <c r="C15">
        <v>122.742</v>
      </c>
    </row>
    <row r="16" spans="1:3" hidden="1" x14ac:dyDescent="0.25">
      <c r="A16" t="s">
        <v>12</v>
      </c>
      <c r="B16">
        <v>154</v>
      </c>
      <c r="C16">
        <v>119.895</v>
      </c>
    </row>
    <row r="17" spans="1:3" hidden="1" x14ac:dyDescent="0.25">
      <c r="A17" t="s">
        <v>19</v>
      </c>
      <c r="B17">
        <v>138</v>
      </c>
      <c r="C17">
        <v>123.276</v>
      </c>
    </row>
    <row r="18" spans="1:3" hidden="1" x14ac:dyDescent="0.25">
      <c r="A18" t="s">
        <v>14</v>
      </c>
      <c r="B18">
        <v>112</v>
      </c>
      <c r="C18">
        <v>112.166</v>
      </c>
    </row>
    <row r="19" spans="1:3" hidden="1" x14ac:dyDescent="0.25">
      <c r="A19" t="s">
        <v>45</v>
      </c>
      <c r="B19">
        <v>70</v>
      </c>
      <c r="C19">
        <v>120.001</v>
      </c>
    </row>
    <row r="20" spans="1:3" hidden="1" x14ac:dyDescent="0.25">
      <c r="A20" t="s">
        <v>22</v>
      </c>
      <c r="B20">
        <v>9</v>
      </c>
      <c r="C20">
        <v>120.928</v>
      </c>
    </row>
    <row r="21" spans="1:3" hidden="1" x14ac:dyDescent="0.25">
      <c r="A21" t="s">
        <v>30</v>
      </c>
      <c r="B21">
        <v>5</v>
      </c>
      <c r="C21">
        <v>113.31100000000001</v>
      </c>
    </row>
    <row r="22" spans="1:3" hidden="1" x14ac:dyDescent="0.25">
      <c r="A22" t="s">
        <v>47</v>
      </c>
      <c r="B22">
        <v>2</v>
      </c>
      <c r="C22">
        <v>121.383</v>
      </c>
    </row>
    <row r="23" spans="1:3" hidden="1" x14ac:dyDescent="0.25">
      <c r="A23" t="s">
        <v>26</v>
      </c>
      <c r="B23">
        <v>-53</v>
      </c>
      <c r="C23">
        <v>120.89</v>
      </c>
    </row>
    <row r="24" spans="1:3" hidden="1" x14ac:dyDescent="0.25">
      <c r="A24" t="s">
        <v>27</v>
      </c>
      <c r="B24">
        <v>-60</v>
      </c>
      <c r="C24">
        <v>120.014</v>
      </c>
    </row>
    <row r="25" spans="1:3" hidden="1" x14ac:dyDescent="0.25">
      <c r="A25" t="s">
        <v>32</v>
      </c>
      <c r="B25">
        <v>-66</v>
      </c>
      <c r="C25">
        <v>119.84099999999999</v>
      </c>
    </row>
    <row r="26" spans="1:3" hidden="1" x14ac:dyDescent="0.25">
      <c r="A26" t="s">
        <v>39</v>
      </c>
      <c r="B26">
        <v>-183</v>
      </c>
      <c r="C26">
        <v>110.58799999999999</v>
      </c>
    </row>
    <row r="27" spans="1:3" hidden="1" x14ac:dyDescent="0.25">
      <c r="A27" t="s">
        <v>46</v>
      </c>
      <c r="B27">
        <v>-175</v>
      </c>
      <c r="C27">
        <v>120.86499999999999</v>
      </c>
    </row>
    <row r="28" spans="1:3" hidden="1" x14ac:dyDescent="0.25">
      <c r="A28" t="s">
        <v>31</v>
      </c>
      <c r="B28">
        <v>-198</v>
      </c>
      <c r="C28">
        <v>124.209</v>
      </c>
    </row>
    <row r="29" spans="1:3" hidden="1" x14ac:dyDescent="0.25">
      <c r="A29" t="s">
        <v>18</v>
      </c>
      <c r="B29">
        <v>-391</v>
      </c>
      <c r="C29">
        <v>110.90900000000001</v>
      </c>
    </row>
    <row r="30" spans="1:3" hidden="1" x14ac:dyDescent="0.25">
      <c r="A30" t="s">
        <v>21</v>
      </c>
      <c r="B30">
        <v>-426</v>
      </c>
      <c r="C30">
        <v>120.20699999999999</v>
      </c>
    </row>
    <row r="31" spans="1:3" hidden="1" x14ac:dyDescent="0.25">
      <c r="A31" t="s">
        <v>15</v>
      </c>
      <c r="B31">
        <v>-571</v>
      </c>
      <c r="C31">
        <v>122.678</v>
      </c>
    </row>
    <row r="32" spans="1:3" hidden="1" x14ac:dyDescent="0.25">
      <c r="A32" t="s">
        <v>20</v>
      </c>
      <c r="B32">
        <v>-855</v>
      </c>
      <c r="C32">
        <v>123.89100000000001</v>
      </c>
    </row>
    <row r="33" spans="1:3" hidden="1" x14ac:dyDescent="0.25">
      <c r="A33" t="s">
        <v>11</v>
      </c>
      <c r="B33">
        <v>-1.5009999999999999</v>
      </c>
      <c r="C33">
        <v>119.848</v>
      </c>
    </row>
    <row r="34" spans="1:3" hidden="1" x14ac:dyDescent="0.25">
      <c r="A34" t="s">
        <v>25</v>
      </c>
      <c r="B34">
        <v>-2</v>
      </c>
      <c r="C34">
        <v>119.488</v>
      </c>
    </row>
    <row r="35" spans="1:3" hidden="1" x14ac:dyDescent="0.25">
      <c r="A35" t="s">
        <v>38</v>
      </c>
      <c r="B35">
        <v>-2.2240000000000002</v>
      </c>
      <c r="C35">
        <v>117.411</v>
      </c>
    </row>
    <row r="36" spans="1:3" hidden="1" x14ac:dyDescent="0.25">
      <c r="A36" t="s">
        <v>16</v>
      </c>
      <c r="B36">
        <v>-2.218</v>
      </c>
      <c r="C36">
        <v>118.893</v>
      </c>
    </row>
    <row r="37" spans="1:3" hidden="1" x14ac:dyDescent="0.25">
      <c r="A37" t="s">
        <v>9</v>
      </c>
      <c r="B37">
        <v>-2.2930000000000001</v>
      </c>
      <c r="C37">
        <v>119.432</v>
      </c>
    </row>
    <row r="38" spans="1:3" x14ac:dyDescent="0.25">
      <c r="A38" t="s">
        <v>42</v>
      </c>
      <c r="B38">
        <v>-2751</v>
      </c>
      <c r="C38">
        <v>121.354</v>
      </c>
    </row>
    <row r="39" spans="1:3" hidden="1" x14ac:dyDescent="0.25">
      <c r="A39" t="s">
        <v>23</v>
      </c>
      <c r="B39">
        <v>-3</v>
      </c>
      <c r="C39">
        <v>119.943</v>
      </c>
    </row>
    <row r="40" spans="1:3" hidden="1" x14ac:dyDescent="0.25">
      <c r="A40" t="s">
        <v>36</v>
      </c>
      <c r="B40">
        <v>-3.42</v>
      </c>
      <c r="C40">
        <v>119.55200000000001</v>
      </c>
    </row>
    <row r="41" spans="1:3" hidden="1" x14ac:dyDescent="0.25">
      <c r="A41" t="s">
        <v>13</v>
      </c>
      <c r="B41">
        <v>-7.8040000000000003</v>
      </c>
      <c r="C41">
        <v>120.583</v>
      </c>
    </row>
    <row r="42" spans="1:3" hidden="1" x14ac:dyDescent="0.25">
      <c r="A42" t="s">
        <v>6</v>
      </c>
      <c r="B42">
        <v>-11.298</v>
      </c>
      <c r="C42">
        <v>119.85299999999999</v>
      </c>
    </row>
    <row r="43" spans="1:3" hidden="1" x14ac:dyDescent="0.25">
      <c r="A43" t="s">
        <v>40</v>
      </c>
      <c r="B43">
        <v>-11.343999999999999</v>
      </c>
      <c r="C43">
        <v>121.9</v>
      </c>
    </row>
    <row r="44" spans="1:3" hidden="1" x14ac:dyDescent="0.25">
      <c r="A44" t="s">
        <v>41</v>
      </c>
      <c r="B44">
        <v>-12.82</v>
      </c>
      <c r="C44">
        <v>120.363</v>
      </c>
    </row>
    <row r="45" spans="1:3" hidden="1" x14ac:dyDescent="0.25">
      <c r="A45" t="s">
        <v>43</v>
      </c>
      <c r="B45">
        <v>-22.756</v>
      </c>
      <c r="C45">
        <v>120.733</v>
      </c>
    </row>
  </sheetData>
  <autoFilter ref="A3:C45" xr:uid="{F8A154FD-06E4-4BB1-A9DF-7277E95B6882}">
    <filterColumn colId="0">
      <filters>
        <filter val="Credit"/>
        <filter val="Goldman"/>
        <filter val="JP Morgan"/>
        <filter val="Merrill"/>
        <filter val="Morgan"/>
        <filter val="Tullett"/>
        <filter val="UBS"/>
      </filters>
    </filterColumn>
  </autoFilter>
  <pageMargins left="0.511811024" right="0.511811024" top="0.78740157499999996" bottom="0.78740157499999996" header="0.31496062000000002" footer="0.3149606200000000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CF130B-C56B-49EB-92F5-1285926AD5C2}">
  <sheetPr codeName="Planilha46" filterMode="1"/>
  <dimension ref="A1:C38"/>
  <sheetViews>
    <sheetView workbookViewId="0">
      <selection activeCell="A3" sqref="A3:C3"/>
    </sheetView>
  </sheetViews>
  <sheetFormatPr defaultRowHeight="15" x14ac:dyDescent="0.25"/>
  <sheetData>
    <row r="1" spans="1:3" x14ac:dyDescent="0.25">
      <c r="A1" t="s">
        <v>49</v>
      </c>
    </row>
    <row r="2" spans="1:3" x14ac:dyDescent="0.25">
      <c r="A2">
        <f>_xlfn.AGGREGATE(9,5,A4:B70)</f>
        <v>1360</v>
      </c>
    </row>
    <row r="3" spans="1:3" x14ac:dyDescent="0.25">
      <c r="A3" t="s">
        <v>3</v>
      </c>
      <c r="B3" t="s">
        <v>4</v>
      </c>
      <c r="C3" t="s">
        <v>5</v>
      </c>
    </row>
    <row r="4" spans="1:3" hidden="1" x14ac:dyDescent="0.25">
      <c r="A4" t="s">
        <v>21</v>
      </c>
      <c r="B4">
        <v>-50</v>
      </c>
      <c r="C4">
        <v>119.85599999999999</v>
      </c>
    </row>
    <row r="5" spans="1:3" hidden="1" x14ac:dyDescent="0.25">
      <c r="A5" t="s">
        <v>14</v>
      </c>
      <c r="B5">
        <v>-660</v>
      </c>
      <c r="C5">
        <v>118.881</v>
      </c>
    </row>
    <row r="6" spans="1:3" hidden="1" x14ac:dyDescent="0.25">
      <c r="A6" t="s">
        <v>43</v>
      </c>
      <c r="B6">
        <v>-240</v>
      </c>
      <c r="C6">
        <v>116.714</v>
      </c>
    </row>
    <row r="7" spans="1:3" hidden="1" x14ac:dyDescent="0.25">
      <c r="A7" t="s">
        <v>35</v>
      </c>
      <c r="B7">
        <v>-5</v>
      </c>
      <c r="C7">
        <v>210.44</v>
      </c>
    </row>
    <row r="8" spans="1:3" hidden="1" x14ac:dyDescent="0.25">
      <c r="A8" t="s">
        <v>41</v>
      </c>
      <c r="B8">
        <v>2.74</v>
      </c>
      <c r="C8">
        <v>118.938</v>
      </c>
    </row>
    <row r="9" spans="1:3" hidden="1" x14ac:dyDescent="0.25">
      <c r="A9" t="s">
        <v>12</v>
      </c>
      <c r="B9">
        <v>1.0249999999999999</v>
      </c>
      <c r="C9">
        <v>120.18899999999999</v>
      </c>
    </row>
    <row r="10" spans="1:3" hidden="1" x14ac:dyDescent="0.25">
      <c r="A10" t="s">
        <v>37</v>
      </c>
      <c r="B10">
        <v>1.0649999999999999</v>
      </c>
      <c r="C10">
        <v>120.23699999999999</v>
      </c>
    </row>
    <row r="11" spans="1:3" hidden="1" x14ac:dyDescent="0.25">
      <c r="A11" t="s">
        <v>180</v>
      </c>
      <c r="B11">
        <v>20</v>
      </c>
      <c r="C11">
        <v>119.29600000000001</v>
      </c>
    </row>
    <row r="12" spans="1:3" x14ac:dyDescent="0.25">
      <c r="A12" t="s">
        <v>17</v>
      </c>
      <c r="B12">
        <v>-630</v>
      </c>
      <c r="C12">
        <v>120.065</v>
      </c>
    </row>
    <row r="13" spans="1:3" hidden="1" x14ac:dyDescent="0.25">
      <c r="A13" t="s">
        <v>9</v>
      </c>
      <c r="B13">
        <v>470</v>
      </c>
      <c r="C13">
        <v>119.41200000000001</v>
      </c>
    </row>
    <row r="14" spans="1:3" x14ac:dyDescent="0.25">
      <c r="A14" t="s">
        <v>33</v>
      </c>
      <c r="B14">
        <v>-35</v>
      </c>
      <c r="C14">
        <v>124.818</v>
      </c>
    </row>
    <row r="15" spans="1:3" hidden="1" x14ac:dyDescent="0.25">
      <c r="A15" t="s">
        <v>13</v>
      </c>
      <c r="B15">
        <v>-185</v>
      </c>
      <c r="C15">
        <v>119.277</v>
      </c>
    </row>
    <row r="16" spans="1:3" hidden="1" x14ac:dyDescent="0.25">
      <c r="A16" t="s">
        <v>32</v>
      </c>
      <c r="B16">
        <v>-15</v>
      </c>
      <c r="C16">
        <v>120.185</v>
      </c>
    </row>
    <row r="17" spans="1:3" hidden="1" x14ac:dyDescent="0.25">
      <c r="A17" t="s">
        <v>19</v>
      </c>
      <c r="B17">
        <v>100</v>
      </c>
      <c r="C17">
        <v>120.175</v>
      </c>
    </row>
    <row r="18" spans="1:3" hidden="1" x14ac:dyDescent="0.25">
      <c r="A18" t="s">
        <v>40</v>
      </c>
      <c r="B18">
        <v>1.7</v>
      </c>
      <c r="C18">
        <v>119.58199999999999</v>
      </c>
    </row>
    <row r="19" spans="1:3" hidden="1" x14ac:dyDescent="0.25">
      <c r="A19" t="s">
        <v>25</v>
      </c>
      <c r="B19">
        <v>-75</v>
      </c>
      <c r="C19">
        <v>120.36499999999999</v>
      </c>
    </row>
    <row r="20" spans="1:3" hidden="1" x14ac:dyDescent="0.25">
      <c r="A20" t="s">
        <v>39</v>
      </c>
      <c r="B20">
        <v>-8.3249999999999993</v>
      </c>
      <c r="C20">
        <v>120.379</v>
      </c>
    </row>
    <row r="21" spans="1:3" x14ac:dyDescent="0.25">
      <c r="A21" t="s">
        <v>7</v>
      </c>
      <c r="B21">
        <v>415</v>
      </c>
      <c r="C21">
        <v>120.32899999999999</v>
      </c>
    </row>
    <row r="22" spans="1:3" x14ac:dyDescent="0.25">
      <c r="A22" t="s">
        <v>42</v>
      </c>
      <c r="B22">
        <v>350</v>
      </c>
      <c r="C22">
        <v>120.738</v>
      </c>
    </row>
    <row r="23" spans="1:3" hidden="1" x14ac:dyDescent="0.25">
      <c r="A23" t="s">
        <v>29</v>
      </c>
      <c r="B23">
        <v>-20</v>
      </c>
      <c r="C23">
        <v>121.67400000000001</v>
      </c>
    </row>
    <row r="24" spans="1:3" hidden="1" x14ac:dyDescent="0.25">
      <c r="A24" t="s">
        <v>38</v>
      </c>
      <c r="B24">
        <v>-35</v>
      </c>
      <c r="C24">
        <v>127.72199999999999</v>
      </c>
    </row>
    <row r="25" spans="1:3" x14ac:dyDescent="0.25">
      <c r="A25" t="s">
        <v>44</v>
      </c>
      <c r="B25">
        <v>415</v>
      </c>
      <c r="C25">
        <v>119.681</v>
      </c>
    </row>
    <row r="26" spans="1:3" hidden="1" x14ac:dyDescent="0.25">
      <c r="A26" t="s">
        <v>20</v>
      </c>
      <c r="B26">
        <v>910</v>
      </c>
      <c r="C26">
        <v>120.099</v>
      </c>
    </row>
    <row r="27" spans="1:3" hidden="1" x14ac:dyDescent="0.25">
      <c r="A27" t="s">
        <v>36</v>
      </c>
      <c r="B27">
        <v>190</v>
      </c>
      <c r="C27">
        <v>119.41800000000001</v>
      </c>
    </row>
    <row r="28" spans="1:3" hidden="1" x14ac:dyDescent="0.25">
      <c r="A28" t="s">
        <v>31</v>
      </c>
      <c r="B28">
        <v>-10</v>
      </c>
      <c r="C28">
        <v>119.55500000000001</v>
      </c>
    </row>
    <row r="29" spans="1:3" hidden="1" x14ac:dyDescent="0.25">
      <c r="A29" t="s">
        <v>26</v>
      </c>
      <c r="B29">
        <v>180</v>
      </c>
      <c r="C29">
        <v>119.58</v>
      </c>
    </row>
    <row r="30" spans="1:3" hidden="1" x14ac:dyDescent="0.25">
      <c r="A30" t="s">
        <v>46</v>
      </c>
      <c r="B30">
        <v>-260</v>
      </c>
      <c r="C30">
        <v>119.223</v>
      </c>
    </row>
    <row r="31" spans="1:3" hidden="1" x14ac:dyDescent="0.25">
      <c r="A31" t="s">
        <v>18</v>
      </c>
      <c r="B31">
        <v>10</v>
      </c>
      <c r="C31">
        <v>128.01</v>
      </c>
    </row>
    <row r="32" spans="1:3" hidden="1" x14ac:dyDescent="0.25">
      <c r="A32" t="s">
        <v>24</v>
      </c>
      <c r="B32">
        <v>15</v>
      </c>
      <c r="C32">
        <v>119.92700000000001</v>
      </c>
    </row>
    <row r="33" spans="1:3" hidden="1" x14ac:dyDescent="0.25">
      <c r="A33" t="s">
        <v>11</v>
      </c>
      <c r="B33">
        <v>-200</v>
      </c>
      <c r="C33">
        <v>121.277</v>
      </c>
    </row>
    <row r="34" spans="1:3" hidden="1" x14ac:dyDescent="0.25">
      <c r="A34" t="s">
        <v>30</v>
      </c>
      <c r="B34">
        <v>20</v>
      </c>
      <c r="C34">
        <v>119.358</v>
      </c>
    </row>
    <row r="35" spans="1:3" hidden="1" x14ac:dyDescent="0.25">
      <c r="A35" t="s">
        <v>15</v>
      </c>
      <c r="B35">
        <v>-190</v>
      </c>
      <c r="C35">
        <v>122.04300000000001</v>
      </c>
    </row>
    <row r="36" spans="1:3" x14ac:dyDescent="0.25">
      <c r="A36" t="s">
        <v>28</v>
      </c>
      <c r="B36">
        <v>-50</v>
      </c>
      <c r="C36">
        <v>134.74700000000001</v>
      </c>
    </row>
    <row r="37" spans="1:3" x14ac:dyDescent="0.25">
      <c r="A37" t="s">
        <v>8</v>
      </c>
      <c r="B37">
        <v>895</v>
      </c>
      <c r="C37">
        <v>119.512</v>
      </c>
    </row>
    <row r="38" spans="1:3" hidden="1" x14ac:dyDescent="0.25">
      <c r="A38" t="s">
        <v>6</v>
      </c>
      <c r="B38">
        <v>465</v>
      </c>
      <c r="C38">
        <v>135.80000000000001</v>
      </c>
    </row>
  </sheetData>
  <autoFilter ref="A3:C38" xr:uid="{66CF130B-C56B-49EB-92F5-1285926AD5C2}">
    <filterColumn colId="0">
      <filters>
        <filter val="Credit"/>
        <filter val="Goldman"/>
        <filter val="JP Morgan"/>
        <filter val="Merrill"/>
        <filter val="Morgan"/>
        <filter val="Tullett"/>
        <filter val="UBS"/>
      </filters>
    </filterColumn>
  </autoFilter>
  <pageMargins left="0.511811024" right="0.511811024" top="0.78740157499999996" bottom="0.78740157499999996" header="0.31496062000000002" footer="0.3149606200000000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0953DC-A283-4FBC-974C-E8452AB1C425}">
  <sheetPr codeName="Planilha47" filterMode="1"/>
  <dimension ref="A1:C44"/>
  <sheetViews>
    <sheetView workbookViewId="0">
      <selection activeCell="B45" sqref="B45"/>
    </sheetView>
  </sheetViews>
  <sheetFormatPr defaultRowHeight="15" x14ac:dyDescent="0.25"/>
  <sheetData>
    <row r="1" spans="1:3" x14ac:dyDescent="0.25">
      <c r="A1" t="s">
        <v>49</v>
      </c>
    </row>
    <row r="2" spans="1:3" x14ac:dyDescent="0.25">
      <c r="A2">
        <f>_xlfn.AGGREGATE(9,5,A4:B70)</f>
        <v>-8673</v>
      </c>
    </row>
    <row r="3" spans="1:3" x14ac:dyDescent="0.25">
      <c r="A3" t="s">
        <v>3</v>
      </c>
      <c r="B3" t="s">
        <v>4</v>
      </c>
      <c r="C3" t="s">
        <v>5</v>
      </c>
    </row>
    <row r="4" spans="1:3" x14ac:dyDescent="0.25">
      <c r="A4" t="s">
        <v>44</v>
      </c>
      <c r="B4">
        <v>16213</v>
      </c>
      <c r="C4">
        <v>119.90900000000001</v>
      </c>
    </row>
    <row r="5" spans="1:3" hidden="1" x14ac:dyDescent="0.25">
      <c r="A5" t="s">
        <v>6</v>
      </c>
      <c r="B5">
        <v>14.391</v>
      </c>
      <c r="C5">
        <v>121.55500000000001</v>
      </c>
    </row>
    <row r="6" spans="1:3" hidden="1" x14ac:dyDescent="0.25">
      <c r="A6" t="s">
        <v>13</v>
      </c>
      <c r="B6">
        <v>9.7159999999999993</v>
      </c>
      <c r="C6">
        <v>120.504</v>
      </c>
    </row>
    <row r="7" spans="1:3" x14ac:dyDescent="0.25">
      <c r="A7" t="s">
        <v>7</v>
      </c>
      <c r="B7">
        <v>7886</v>
      </c>
      <c r="C7">
        <v>118.458</v>
      </c>
    </row>
    <row r="8" spans="1:3" hidden="1" x14ac:dyDescent="0.25">
      <c r="A8" t="s">
        <v>16</v>
      </c>
      <c r="B8">
        <v>3.855</v>
      </c>
      <c r="C8">
        <v>121.20099999999999</v>
      </c>
    </row>
    <row r="9" spans="1:3" x14ac:dyDescent="0.25">
      <c r="A9" t="s">
        <v>33</v>
      </c>
      <c r="B9">
        <v>3532</v>
      </c>
      <c r="C9">
        <v>118.277</v>
      </c>
    </row>
    <row r="10" spans="1:3" hidden="1" x14ac:dyDescent="0.25">
      <c r="A10" t="s">
        <v>38</v>
      </c>
      <c r="B10">
        <v>3.3540000000000001</v>
      </c>
      <c r="C10">
        <v>120.645</v>
      </c>
    </row>
    <row r="11" spans="1:3" hidden="1" x14ac:dyDescent="0.25">
      <c r="A11" t="s">
        <v>9</v>
      </c>
      <c r="B11">
        <v>3.4039999999999999</v>
      </c>
      <c r="C11">
        <v>116.40600000000001</v>
      </c>
    </row>
    <row r="12" spans="1:3" hidden="1" x14ac:dyDescent="0.25">
      <c r="A12" t="s">
        <v>41</v>
      </c>
      <c r="B12">
        <v>2.8959999999999999</v>
      </c>
      <c r="C12">
        <v>115.893</v>
      </c>
    </row>
    <row r="13" spans="1:3" hidden="1" x14ac:dyDescent="0.25">
      <c r="A13" t="s">
        <v>10</v>
      </c>
      <c r="B13">
        <v>2.5880000000000001</v>
      </c>
      <c r="C13">
        <v>121.312</v>
      </c>
    </row>
    <row r="14" spans="1:3" hidden="1" x14ac:dyDescent="0.25">
      <c r="A14" t="s">
        <v>25</v>
      </c>
      <c r="B14">
        <v>2.4710000000000001</v>
      </c>
      <c r="C14">
        <v>119.646</v>
      </c>
    </row>
    <row r="15" spans="1:3" x14ac:dyDescent="0.25">
      <c r="A15" t="s">
        <v>42</v>
      </c>
      <c r="B15">
        <v>2187</v>
      </c>
      <c r="C15">
        <v>118.547</v>
      </c>
    </row>
    <row r="16" spans="1:3" hidden="1" x14ac:dyDescent="0.25">
      <c r="A16" t="s">
        <v>15</v>
      </c>
      <c r="B16">
        <v>2.1419999999999999</v>
      </c>
      <c r="C16">
        <v>120.08499999999999</v>
      </c>
    </row>
    <row r="17" spans="1:3" hidden="1" x14ac:dyDescent="0.25">
      <c r="A17" t="s">
        <v>18</v>
      </c>
      <c r="B17">
        <v>1.569</v>
      </c>
      <c r="C17">
        <v>122.83799999999999</v>
      </c>
    </row>
    <row r="18" spans="1:3" hidden="1" x14ac:dyDescent="0.25">
      <c r="A18" t="s">
        <v>24</v>
      </c>
      <c r="B18">
        <v>1.0129999999999999</v>
      </c>
      <c r="C18">
        <v>119.212</v>
      </c>
    </row>
    <row r="19" spans="1:3" hidden="1" x14ac:dyDescent="0.25">
      <c r="A19" t="s">
        <v>21</v>
      </c>
      <c r="B19">
        <v>663</v>
      </c>
      <c r="C19">
        <v>120.14700000000001</v>
      </c>
    </row>
    <row r="20" spans="1:3" hidden="1" x14ac:dyDescent="0.25">
      <c r="A20" t="s">
        <v>34</v>
      </c>
      <c r="B20">
        <v>590</v>
      </c>
      <c r="C20">
        <v>122.67</v>
      </c>
    </row>
    <row r="21" spans="1:3" hidden="1" x14ac:dyDescent="0.25">
      <c r="A21" t="s">
        <v>31</v>
      </c>
      <c r="B21">
        <v>528</v>
      </c>
      <c r="C21">
        <v>119.76</v>
      </c>
    </row>
    <row r="22" spans="1:3" hidden="1" x14ac:dyDescent="0.25">
      <c r="A22" t="s">
        <v>30</v>
      </c>
      <c r="B22">
        <v>487</v>
      </c>
      <c r="C22">
        <v>119.84699999999999</v>
      </c>
    </row>
    <row r="23" spans="1:3" hidden="1" x14ac:dyDescent="0.25">
      <c r="A23" t="s">
        <v>32</v>
      </c>
      <c r="B23">
        <v>146</v>
      </c>
      <c r="C23">
        <v>120.352</v>
      </c>
    </row>
    <row r="24" spans="1:3" hidden="1" x14ac:dyDescent="0.25">
      <c r="A24" t="s">
        <v>45</v>
      </c>
      <c r="B24">
        <v>130</v>
      </c>
      <c r="C24">
        <v>122.005</v>
      </c>
    </row>
    <row r="25" spans="1:3" hidden="1" x14ac:dyDescent="0.25">
      <c r="A25" t="s">
        <v>26</v>
      </c>
      <c r="B25">
        <v>125</v>
      </c>
      <c r="C25">
        <v>120.17400000000001</v>
      </c>
    </row>
    <row r="26" spans="1:3" hidden="1" x14ac:dyDescent="0.25">
      <c r="A26" t="s">
        <v>19</v>
      </c>
      <c r="B26">
        <v>109</v>
      </c>
      <c r="C26">
        <v>116.401</v>
      </c>
    </row>
    <row r="27" spans="1:3" hidden="1" x14ac:dyDescent="0.25">
      <c r="A27" t="s">
        <v>22</v>
      </c>
      <c r="B27">
        <v>101</v>
      </c>
      <c r="C27">
        <v>119.244</v>
      </c>
    </row>
    <row r="28" spans="1:3" hidden="1" x14ac:dyDescent="0.25">
      <c r="A28" t="s">
        <v>174</v>
      </c>
      <c r="B28">
        <v>2</v>
      </c>
      <c r="C28">
        <v>120.18</v>
      </c>
    </row>
    <row r="29" spans="1:3" hidden="1" x14ac:dyDescent="0.25">
      <c r="A29" t="s">
        <v>27</v>
      </c>
      <c r="B29">
        <v>-18</v>
      </c>
      <c r="C29">
        <v>120.081</v>
      </c>
    </row>
    <row r="30" spans="1:3" hidden="1" x14ac:dyDescent="0.25">
      <c r="A30" t="s">
        <v>46</v>
      </c>
      <c r="B30">
        <v>-50</v>
      </c>
      <c r="C30">
        <v>123.28</v>
      </c>
    </row>
    <row r="31" spans="1:3" hidden="1" x14ac:dyDescent="0.25">
      <c r="A31" t="s">
        <v>11</v>
      </c>
      <c r="B31">
        <v>-346</v>
      </c>
      <c r="C31">
        <v>119.95399999999999</v>
      </c>
    </row>
    <row r="32" spans="1:3" hidden="1" x14ac:dyDescent="0.25">
      <c r="A32" t="s">
        <v>37</v>
      </c>
      <c r="B32">
        <v>-894</v>
      </c>
      <c r="C32">
        <v>117.876</v>
      </c>
    </row>
    <row r="33" spans="1:3" hidden="1" x14ac:dyDescent="0.25">
      <c r="A33" t="s">
        <v>20</v>
      </c>
      <c r="B33">
        <v>-875</v>
      </c>
      <c r="C33">
        <v>128.33699999999999</v>
      </c>
    </row>
    <row r="34" spans="1:3" hidden="1" x14ac:dyDescent="0.25">
      <c r="A34" t="s">
        <v>12</v>
      </c>
      <c r="B34">
        <v>-1.2849999999999999</v>
      </c>
      <c r="C34">
        <v>119.048</v>
      </c>
    </row>
    <row r="35" spans="1:3" hidden="1" x14ac:dyDescent="0.25">
      <c r="A35" t="s">
        <v>29</v>
      </c>
      <c r="B35">
        <v>-2.476</v>
      </c>
      <c r="C35">
        <v>118.79300000000001</v>
      </c>
    </row>
    <row r="36" spans="1:3" hidden="1" x14ac:dyDescent="0.25">
      <c r="A36" t="s">
        <v>35</v>
      </c>
      <c r="B36">
        <v>-2.5950000000000002</v>
      </c>
      <c r="C36">
        <v>117.295</v>
      </c>
    </row>
    <row r="37" spans="1:3" hidden="1" x14ac:dyDescent="0.25">
      <c r="A37" t="s">
        <v>14</v>
      </c>
      <c r="B37">
        <v>-2.8860000000000001</v>
      </c>
      <c r="C37">
        <v>119.37</v>
      </c>
    </row>
    <row r="38" spans="1:3" hidden="1" x14ac:dyDescent="0.25">
      <c r="A38" t="s">
        <v>36</v>
      </c>
      <c r="B38">
        <v>-2.9630000000000001</v>
      </c>
      <c r="C38">
        <v>122.101</v>
      </c>
    </row>
    <row r="39" spans="1:3" hidden="1" x14ac:dyDescent="0.25">
      <c r="A39" t="s">
        <v>39</v>
      </c>
      <c r="B39">
        <v>-4.0110000000000001</v>
      </c>
      <c r="C39">
        <v>121.163</v>
      </c>
    </row>
    <row r="40" spans="1:3" x14ac:dyDescent="0.25">
      <c r="A40" t="s">
        <v>28</v>
      </c>
      <c r="B40">
        <v>-4558</v>
      </c>
      <c r="C40">
        <v>118.033</v>
      </c>
    </row>
    <row r="41" spans="1:3" hidden="1" x14ac:dyDescent="0.25">
      <c r="A41" t="s">
        <v>40</v>
      </c>
      <c r="B41">
        <v>-6.0279999999999996</v>
      </c>
      <c r="C41">
        <v>120.795</v>
      </c>
    </row>
    <row r="42" spans="1:3" x14ac:dyDescent="0.25">
      <c r="A42" t="s">
        <v>17</v>
      </c>
      <c r="B42">
        <v>-15374</v>
      </c>
      <c r="C42">
        <v>120.408</v>
      </c>
    </row>
    <row r="43" spans="1:3" hidden="1" x14ac:dyDescent="0.25">
      <c r="A43" t="s">
        <v>43</v>
      </c>
      <c r="B43">
        <v>-17.18</v>
      </c>
      <c r="C43">
        <v>119.931</v>
      </c>
    </row>
    <row r="44" spans="1:3" x14ac:dyDescent="0.25">
      <c r="A44" t="s">
        <v>8</v>
      </c>
      <c r="B44">
        <v>-18559</v>
      </c>
      <c r="C44">
        <v>119.681</v>
      </c>
    </row>
  </sheetData>
  <autoFilter ref="A3:C44" xr:uid="{0E0953DC-A283-4FBC-974C-E8452AB1C425}">
    <filterColumn colId="0">
      <filters>
        <filter val="Credit"/>
        <filter val="Goldman"/>
        <filter val="JP Morgan"/>
        <filter val="Merrill"/>
        <filter val="Morgan"/>
        <filter val="Tullett"/>
        <filter val="UBS"/>
      </filters>
    </filterColumn>
  </autoFilter>
  <pageMargins left="0.511811024" right="0.511811024" top="0.78740157499999996" bottom="0.78740157499999996" header="0.31496062000000002" footer="0.3149606200000000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F9BB2-CF96-4229-BCDF-9B666F0DF1E2}">
  <sheetPr codeName="Planilha48" filterMode="1"/>
  <dimension ref="A1:C37"/>
  <sheetViews>
    <sheetView workbookViewId="0">
      <selection activeCell="B38" sqref="B38"/>
    </sheetView>
  </sheetViews>
  <sheetFormatPr defaultRowHeight="15" x14ac:dyDescent="0.25"/>
  <sheetData>
    <row r="1" spans="1:3" x14ac:dyDescent="0.25">
      <c r="A1" t="s">
        <v>49</v>
      </c>
    </row>
    <row r="2" spans="1:3" x14ac:dyDescent="0.25">
      <c r="A2">
        <f>_xlfn.AGGREGATE(9,5,A4:B70)</f>
        <v>-2740</v>
      </c>
    </row>
    <row r="3" spans="1:3" x14ac:dyDescent="0.25">
      <c r="A3" t="s">
        <v>3</v>
      </c>
      <c r="B3" t="s">
        <v>4</v>
      </c>
      <c r="C3" t="s">
        <v>5</v>
      </c>
    </row>
    <row r="4" spans="1:3" hidden="1" x14ac:dyDescent="0.25">
      <c r="A4" t="s">
        <v>14</v>
      </c>
      <c r="B4">
        <v>890</v>
      </c>
      <c r="C4">
        <v>120.928</v>
      </c>
    </row>
    <row r="5" spans="1:3" hidden="1" x14ac:dyDescent="0.25">
      <c r="A5" t="s">
        <v>43</v>
      </c>
      <c r="B5">
        <v>-15</v>
      </c>
      <c r="C5">
        <v>120.328</v>
      </c>
    </row>
    <row r="6" spans="1:3" hidden="1" x14ac:dyDescent="0.25">
      <c r="A6" t="s">
        <v>35</v>
      </c>
      <c r="B6">
        <v>-325</v>
      </c>
      <c r="C6">
        <v>122.151</v>
      </c>
    </row>
    <row r="7" spans="1:3" hidden="1" x14ac:dyDescent="0.25">
      <c r="A7" t="s">
        <v>41</v>
      </c>
      <c r="B7">
        <v>-1.095</v>
      </c>
      <c r="C7">
        <v>120.371</v>
      </c>
    </row>
    <row r="8" spans="1:3" hidden="1" x14ac:dyDescent="0.25">
      <c r="A8" t="s">
        <v>12</v>
      </c>
      <c r="B8">
        <v>-45</v>
      </c>
      <c r="C8">
        <v>119.732</v>
      </c>
    </row>
    <row r="9" spans="1:3" hidden="1" x14ac:dyDescent="0.25">
      <c r="A9" t="s">
        <v>37</v>
      </c>
      <c r="B9">
        <v>1.38</v>
      </c>
      <c r="C9">
        <v>120.387</v>
      </c>
    </row>
    <row r="10" spans="1:3" hidden="1" x14ac:dyDescent="0.25">
      <c r="A10" t="s">
        <v>16</v>
      </c>
      <c r="B10">
        <v>10</v>
      </c>
      <c r="C10">
        <v>120.36799999999999</v>
      </c>
    </row>
    <row r="11" spans="1:3" x14ac:dyDescent="0.25">
      <c r="A11" t="s">
        <v>17</v>
      </c>
      <c r="B11">
        <v>1360</v>
      </c>
      <c r="C11">
        <v>120.989</v>
      </c>
    </row>
    <row r="12" spans="1:3" hidden="1" x14ac:dyDescent="0.25">
      <c r="A12" t="s">
        <v>34</v>
      </c>
      <c r="B12">
        <v>-5</v>
      </c>
      <c r="C12">
        <v>120.75</v>
      </c>
    </row>
    <row r="13" spans="1:3" hidden="1" x14ac:dyDescent="0.25">
      <c r="A13" t="s">
        <v>9</v>
      </c>
      <c r="B13">
        <v>180</v>
      </c>
      <c r="C13">
        <v>120.13800000000001</v>
      </c>
    </row>
    <row r="14" spans="1:3" x14ac:dyDescent="0.25">
      <c r="A14" t="s">
        <v>33</v>
      </c>
      <c r="B14">
        <v>265</v>
      </c>
      <c r="C14">
        <v>120.255</v>
      </c>
    </row>
    <row r="15" spans="1:3" hidden="1" x14ac:dyDescent="0.25">
      <c r="A15" t="s">
        <v>13</v>
      </c>
      <c r="B15">
        <v>460</v>
      </c>
      <c r="C15">
        <v>121.04600000000001</v>
      </c>
    </row>
    <row r="16" spans="1:3" hidden="1" x14ac:dyDescent="0.25">
      <c r="A16" t="s">
        <v>19</v>
      </c>
      <c r="B16">
        <v>-120</v>
      </c>
      <c r="C16">
        <v>121.709</v>
      </c>
    </row>
    <row r="17" spans="1:3" hidden="1" x14ac:dyDescent="0.25">
      <c r="A17" t="s">
        <v>40</v>
      </c>
      <c r="B17">
        <v>2.6749999999999998</v>
      </c>
      <c r="C17">
        <v>120.982</v>
      </c>
    </row>
    <row r="18" spans="1:3" hidden="1" x14ac:dyDescent="0.25">
      <c r="A18" t="s">
        <v>25</v>
      </c>
      <c r="B18">
        <v>5</v>
      </c>
      <c r="C18">
        <v>113.07</v>
      </c>
    </row>
    <row r="19" spans="1:3" hidden="1" x14ac:dyDescent="0.25">
      <c r="A19" t="s">
        <v>39</v>
      </c>
      <c r="B19">
        <v>735</v>
      </c>
      <c r="C19">
        <v>120.46</v>
      </c>
    </row>
    <row r="20" spans="1:3" x14ac:dyDescent="0.25">
      <c r="A20" t="s">
        <v>7</v>
      </c>
      <c r="B20">
        <v>885</v>
      </c>
      <c r="C20">
        <v>120.367</v>
      </c>
    </row>
    <row r="21" spans="1:3" x14ac:dyDescent="0.25">
      <c r="A21" t="s">
        <v>42</v>
      </c>
      <c r="B21">
        <v>-1930</v>
      </c>
      <c r="C21">
        <v>120.505</v>
      </c>
    </row>
    <row r="22" spans="1:3" hidden="1" x14ac:dyDescent="0.25">
      <c r="A22" t="s">
        <v>38</v>
      </c>
      <c r="B22">
        <v>-635</v>
      </c>
      <c r="C22">
        <v>120.877</v>
      </c>
    </row>
    <row r="23" spans="1:3" x14ac:dyDescent="0.25">
      <c r="A23" t="s">
        <v>44</v>
      </c>
      <c r="B23">
        <v>-215</v>
      </c>
      <c r="C23">
        <v>119.88800000000001</v>
      </c>
    </row>
    <row r="24" spans="1:3" hidden="1" x14ac:dyDescent="0.25">
      <c r="A24" t="s">
        <v>20</v>
      </c>
      <c r="B24">
        <v>80</v>
      </c>
      <c r="C24">
        <v>118.971</v>
      </c>
    </row>
    <row r="25" spans="1:3" hidden="1" x14ac:dyDescent="0.25">
      <c r="A25" t="s">
        <v>36</v>
      </c>
      <c r="B25">
        <v>-1.7050000000000001</v>
      </c>
      <c r="C25">
        <v>121.279</v>
      </c>
    </row>
    <row r="26" spans="1:3" hidden="1" x14ac:dyDescent="0.25">
      <c r="A26" t="s">
        <v>31</v>
      </c>
      <c r="B26">
        <v>15</v>
      </c>
      <c r="C26">
        <v>124.792</v>
      </c>
    </row>
    <row r="27" spans="1:3" hidden="1" x14ac:dyDescent="0.25">
      <c r="A27" t="s">
        <v>26</v>
      </c>
      <c r="B27">
        <v>25</v>
      </c>
      <c r="C27">
        <v>120.703</v>
      </c>
    </row>
    <row r="28" spans="1:3" hidden="1" x14ac:dyDescent="0.25">
      <c r="A28" t="s">
        <v>46</v>
      </c>
      <c r="B28">
        <v>105</v>
      </c>
      <c r="C28">
        <v>120.73699999999999</v>
      </c>
    </row>
    <row r="29" spans="1:3" hidden="1" x14ac:dyDescent="0.25">
      <c r="A29" t="s">
        <v>18</v>
      </c>
      <c r="B29">
        <v>-10</v>
      </c>
      <c r="C29">
        <v>130.005</v>
      </c>
    </row>
    <row r="30" spans="1:3" hidden="1" x14ac:dyDescent="0.25">
      <c r="A30" t="s">
        <v>11</v>
      </c>
      <c r="B30">
        <v>-320</v>
      </c>
      <c r="C30">
        <v>119.568</v>
      </c>
    </row>
    <row r="31" spans="1:3" hidden="1" x14ac:dyDescent="0.25">
      <c r="A31" t="s">
        <v>30</v>
      </c>
      <c r="B31">
        <v>5</v>
      </c>
      <c r="C31">
        <v>120.2</v>
      </c>
    </row>
    <row r="32" spans="1:3" hidden="1" x14ac:dyDescent="0.25">
      <c r="A32" t="s">
        <v>15</v>
      </c>
      <c r="B32">
        <v>-985</v>
      </c>
      <c r="C32">
        <v>121.236</v>
      </c>
    </row>
    <row r="33" spans="1:3" x14ac:dyDescent="0.25">
      <c r="A33" t="s">
        <v>28</v>
      </c>
      <c r="B33">
        <v>-1165</v>
      </c>
      <c r="C33">
        <v>119.97799999999999</v>
      </c>
    </row>
    <row r="34" spans="1:3" x14ac:dyDescent="0.25">
      <c r="A34" t="s">
        <v>8</v>
      </c>
      <c r="B34">
        <v>-1940</v>
      </c>
      <c r="C34">
        <v>120.268</v>
      </c>
    </row>
    <row r="35" spans="1:3" hidden="1" x14ac:dyDescent="0.25">
      <c r="A35" t="s">
        <v>179</v>
      </c>
      <c r="B35">
        <v>15</v>
      </c>
      <c r="C35">
        <v>121.45</v>
      </c>
    </row>
    <row r="36" spans="1:3" hidden="1" x14ac:dyDescent="0.25">
      <c r="A36" t="s">
        <v>45</v>
      </c>
      <c r="B36">
        <v>200</v>
      </c>
      <c r="C36">
        <v>120.075</v>
      </c>
    </row>
    <row r="37" spans="1:3" hidden="1" x14ac:dyDescent="0.25">
      <c r="A37" t="s">
        <v>6</v>
      </c>
      <c r="B37">
        <v>1.22</v>
      </c>
      <c r="C37">
        <v>119.96</v>
      </c>
    </row>
  </sheetData>
  <autoFilter ref="A3:C37" xr:uid="{4B4F9BB2-CF96-4229-BCDF-9B666F0DF1E2}">
    <filterColumn colId="0">
      <filters>
        <filter val="Credit"/>
        <filter val="Goldman"/>
        <filter val="JP Morgan"/>
        <filter val="Merrill"/>
        <filter val="Morgan"/>
        <filter val="Tullett"/>
        <filter val="UBS"/>
      </filters>
    </filterColumn>
  </autoFilter>
  <pageMargins left="0.511811024" right="0.511811024" top="0.78740157499999996" bottom="0.78740157499999996" header="0.31496062000000002" footer="0.3149606200000000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F1E2D-2923-44EA-9410-0B71163C4CEC}">
  <sheetPr codeName="Planilha49" filterMode="1"/>
  <dimension ref="A1:C45"/>
  <sheetViews>
    <sheetView workbookViewId="0">
      <selection activeCell="B46" sqref="B46"/>
    </sheetView>
  </sheetViews>
  <sheetFormatPr defaultRowHeight="15" x14ac:dyDescent="0.25"/>
  <sheetData>
    <row r="1" spans="1:3" x14ac:dyDescent="0.25">
      <c r="A1" t="s">
        <v>49</v>
      </c>
    </row>
    <row r="2" spans="1:3" x14ac:dyDescent="0.25">
      <c r="A2">
        <f>_xlfn.AGGREGATE(9,5,A4:B70)</f>
        <v>-6262</v>
      </c>
    </row>
    <row r="3" spans="1:3" x14ac:dyDescent="0.25">
      <c r="A3" t="s">
        <v>3</v>
      </c>
      <c r="B3" t="s">
        <v>4</v>
      </c>
      <c r="C3" t="s">
        <v>5</v>
      </c>
    </row>
    <row r="4" spans="1:3" hidden="1" x14ac:dyDescent="0.25">
      <c r="A4" t="s">
        <v>13</v>
      </c>
      <c r="B4">
        <v>15.454000000000001</v>
      </c>
      <c r="C4">
        <v>120.982</v>
      </c>
    </row>
    <row r="5" spans="1:3" hidden="1" x14ac:dyDescent="0.25">
      <c r="A5" t="s">
        <v>9</v>
      </c>
      <c r="B5">
        <v>11.539</v>
      </c>
      <c r="C5">
        <v>121.315</v>
      </c>
    </row>
    <row r="6" spans="1:3" x14ac:dyDescent="0.25">
      <c r="A6" t="s">
        <v>28</v>
      </c>
      <c r="B6">
        <v>10229</v>
      </c>
      <c r="C6">
        <v>120.59699999999999</v>
      </c>
    </row>
    <row r="7" spans="1:3" hidden="1" x14ac:dyDescent="0.25">
      <c r="A7" t="s">
        <v>6</v>
      </c>
      <c r="B7">
        <v>7.0460000000000003</v>
      </c>
      <c r="C7">
        <v>120.17700000000001</v>
      </c>
    </row>
    <row r="8" spans="1:3" hidden="1" x14ac:dyDescent="0.25">
      <c r="A8" t="s">
        <v>39</v>
      </c>
      <c r="B8">
        <v>7.0250000000000004</v>
      </c>
      <c r="C8">
        <v>120.429</v>
      </c>
    </row>
    <row r="9" spans="1:3" hidden="1" x14ac:dyDescent="0.25">
      <c r="A9" t="s">
        <v>24</v>
      </c>
      <c r="B9">
        <v>4.5190000000000001</v>
      </c>
      <c r="C9">
        <v>120.434</v>
      </c>
    </row>
    <row r="10" spans="1:3" hidden="1" x14ac:dyDescent="0.25">
      <c r="A10" t="s">
        <v>38</v>
      </c>
      <c r="B10">
        <v>3.2320000000000002</v>
      </c>
      <c r="C10">
        <v>122.027</v>
      </c>
    </row>
    <row r="11" spans="1:3" x14ac:dyDescent="0.25">
      <c r="A11" t="s">
        <v>17</v>
      </c>
      <c r="B11">
        <v>2355</v>
      </c>
      <c r="C11">
        <v>121.377</v>
      </c>
    </row>
    <row r="12" spans="1:3" hidden="1" x14ac:dyDescent="0.25">
      <c r="A12" t="s">
        <v>35</v>
      </c>
      <c r="B12">
        <v>2.339</v>
      </c>
      <c r="C12">
        <v>120.479</v>
      </c>
    </row>
    <row r="13" spans="1:3" x14ac:dyDescent="0.25">
      <c r="A13" t="s">
        <v>42</v>
      </c>
      <c r="B13">
        <v>2337</v>
      </c>
      <c r="C13">
        <v>118.646</v>
      </c>
    </row>
    <row r="14" spans="1:3" hidden="1" x14ac:dyDescent="0.25">
      <c r="A14" t="s">
        <v>41</v>
      </c>
      <c r="B14">
        <v>2.2450000000000001</v>
      </c>
      <c r="C14">
        <v>119.589</v>
      </c>
    </row>
    <row r="15" spans="1:3" hidden="1" x14ac:dyDescent="0.25">
      <c r="A15" t="s">
        <v>16</v>
      </c>
      <c r="B15">
        <v>1.609</v>
      </c>
      <c r="C15">
        <v>121.97199999999999</v>
      </c>
    </row>
    <row r="16" spans="1:3" hidden="1" x14ac:dyDescent="0.25">
      <c r="A16" t="s">
        <v>11</v>
      </c>
      <c r="B16">
        <v>1.2749999999999999</v>
      </c>
      <c r="C16">
        <v>121.422</v>
      </c>
    </row>
    <row r="17" spans="1:3" hidden="1" x14ac:dyDescent="0.25">
      <c r="A17" t="s">
        <v>18</v>
      </c>
      <c r="B17">
        <v>833</v>
      </c>
      <c r="C17">
        <v>123.045</v>
      </c>
    </row>
    <row r="18" spans="1:3" hidden="1" x14ac:dyDescent="0.25">
      <c r="A18" t="s">
        <v>29</v>
      </c>
      <c r="B18">
        <v>606</v>
      </c>
      <c r="C18">
        <v>120.306</v>
      </c>
    </row>
    <row r="19" spans="1:3" hidden="1" x14ac:dyDescent="0.25">
      <c r="A19" t="s">
        <v>15</v>
      </c>
      <c r="B19">
        <v>463</v>
      </c>
      <c r="C19">
        <v>114.027</v>
      </c>
    </row>
    <row r="20" spans="1:3" hidden="1" x14ac:dyDescent="0.25">
      <c r="A20" t="s">
        <v>12</v>
      </c>
      <c r="B20">
        <v>444</v>
      </c>
      <c r="C20">
        <v>118.53100000000001</v>
      </c>
    </row>
    <row r="21" spans="1:3" hidden="1" x14ac:dyDescent="0.25">
      <c r="A21" t="s">
        <v>21</v>
      </c>
      <c r="B21">
        <v>320</v>
      </c>
      <c r="C21">
        <v>120.35299999999999</v>
      </c>
    </row>
    <row r="22" spans="1:3" hidden="1" x14ac:dyDescent="0.25">
      <c r="A22" t="s">
        <v>27</v>
      </c>
      <c r="B22">
        <v>288</v>
      </c>
      <c r="C22">
        <v>120.84099999999999</v>
      </c>
    </row>
    <row r="23" spans="1:3" hidden="1" x14ac:dyDescent="0.25">
      <c r="A23" t="s">
        <v>19</v>
      </c>
      <c r="B23">
        <v>233</v>
      </c>
      <c r="C23">
        <v>120.107</v>
      </c>
    </row>
    <row r="24" spans="1:3" hidden="1" x14ac:dyDescent="0.25">
      <c r="A24" t="s">
        <v>31</v>
      </c>
      <c r="B24">
        <v>133</v>
      </c>
      <c r="C24">
        <v>115.724</v>
      </c>
    </row>
    <row r="25" spans="1:3" hidden="1" x14ac:dyDescent="0.25">
      <c r="A25" t="s">
        <v>37</v>
      </c>
      <c r="B25">
        <v>94</v>
      </c>
      <c r="C25">
        <v>143.34800000000001</v>
      </c>
    </row>
    <row r="26" spans="1:3" hidden="1" x14ac:dyDescent="0.25">
      <c r="A26" t="s">
        <v>30</v>
      </c>
      <c r="B26">
        <v>40</v>
      </c>
      <c r="C26">
        <v>118.095</v>
      </c>
    </row>
    <row r="27" spans="1:3" hidden="1" x14ac:dyDescent="0.25">
      <c r="A27" t="s">
        <v>26</v>
      </c>
      <c r="B27">
        <v>15</v>
      </c>
      <c r="C27">
        <v>118.52200000000001</v>
      </c>
    </row>
    <row r="28" spans="1:3" hidden="1" x14ac:dyDescent="0.25">
      <c r="A28" t="s">
        <v>32</v>
      </c>
      <c r="B28">
        <v>13</v>
      </c>
      <c r="C28">
        <v>119.848</v>
      </c>
    </row>
    <row r="29" spans="1:3" hidden="1" x14ac:dyDescent="0.25">
      <c r="A29" t="s">
        <v>46</v>
      </c>
      <c r="B29">
        <v>10</v>
      </c>
      <c r="C29">
        <v>94.971999999999994</v>
      </c>
    </row>
    <row r="30" spans="1:3" hidden="1" x14ac:dyDescent="0.25">
      <c r="A30" t="s">
        <v>47</v>
      </c>
      <c r="B30">
        <v>1</v>
      </c>
      <c r="C30">
        <v>121.27500000000001</v>
      </c>
    </row>
    <row r="31" spans="1:3" hidden="1" x14ac:dyDescent="0.25">
      <c r="A31" t="s">
        <v>174</v>
      </c>
      <c r="B31">
        <v>-1</v>
      </c>
      <c r="C31">
        <v>121.355</v>
      </c>
    </row>
    <row r="32" spans="1:3" hidden="1" x14ac:dyDescent="0.25">
      <c r="A32" t="s">
        <v>45</v>
      </c>
      <c r="B32">
        <v>-2</v>
      </c>
      <c r="C32">
        <v>190.56299999999999</v>
      </c>
    </row>
    <row r="33" spans="1:3" hidden="1" x14ac:dyDescent="0.25">
      <c r="A33" t="s">
        <v>23</v>
      </c>
      <c r="B33">
        <v>-2</v>
      </c>
      <c r="C33">
        <v>241.072</v>
      </c>
    </row>
    <row r="34" spans="1:3" hidden="1" x14ac:dyDescent="0.25">
      <c r="A34" t="s">
        <v>14</v>
      </c>
      <c r="B34">
        <v>-193</v>
      </c>
      <c r="C34">
        <v>115.843</v>
      </c>
    </row>
    <row r="35" spans="1:3" hidden="1" x14ac:dyDescent="0.25">
      <c r="A35" t="s">
        <v>25</v>
      </c>
      <c r="B35">
        <v>-206</v>
      </c>
      <c r="C35">
        <v>121.937</v>
      </c>
    </row>
    <row r="36" spans="1:3" hidden="1" x14ac:dyDescent="0.25">
      <c r="A36" t="s">
        <v>34</v>
      </c>
      <c r="B36">
        <v>-661</v>
      </c>
      <c r="C36">
        <v>121.614</v>
      </c>
    </row>
    <row r="37" spans="1:3" x14ac:dyDescent="0.25">
      <c r="A37" t="s">
        <v>44</v>
      </c>
      <c r="B37">
        <v>-1199</v>
      </c>
      <c r="C37">
        <v>123.636</v>
      </c>
    </row>
    <row r="38" spans="1:3" x14ac:dyDescent="0.25">
      <c r="A38" t="s">
        <v>33</v>
      </c>
      <c r="B38">
        <v>-1956</v>
      </c>
      <c r="C38">
        <v>119.976</v>
      </c>
    </row>
    <row r="39" spans="1:3" x14ac:dyDescent="0.25">
      <c r="A39" t="s">
        <v>7</v>
      </c>
      <c r="B39">
        <v>-3386</v>
      </c>
      <c r="C39">
        <v>121.672</v>
      </c>
    </row>
    <row r="40" spans="1:3" hidden="1" x14ac:dyDescent="0.25">
      <c r="A40" t="s">
        <v>10</v>
      </c>
      <c r="B40">
        <v>-4.7709999999999999</v>
      </c>
      <c r="C40">
        <v>121.42</v>
      </c>
    </row>
    <row r="41" spans="1:3" hidden="1" x14ac:dyDescent="0.25">
      <c r="A41" t="s">
        <v>43</v>
      </c>
      <c r="B41">
        <v>-5.1340000000000003</v>
      </c>
      <c r="C41">
        <v>120.961</v>
      </c>
    </row>
    <row r="42" spans="1:3" hidden="1" x14ac:dyDescent="0.25">
      <c r="A42" t="s">
        <v>36</v>
      </c>
      <c r="B42">
        <v>-6.4009999999999998</v>
      </c>
      <c r="C42">
        <v>121.03700000000001</v>
      </c>
    </row>
    <row r="43" spans="1:3" hidden="1" x14ac:dyDescent="0.25">
      <c r="A43" t="s">
        <v>20</v>
      </c>
      <c r="B43">
        <v>-12.638999999999999</v>
      </c>
      <c r="C43">
        <v>120.232</v>
      </c>
    </row>
    <row r="44" spans="1:3" x14ac:dyDescent="0.25">
      <c r="A44" t="s">
        <v>8</v>
      </c>
      <c r="B44">
        <v>-14642</v>
      </c>
      <c r="C44">
        <v>120.389</v>
      </c>
    </row>
    <row r="45" spans="1:3" hidden="1" x14ac:dyDescent="0.25">
      <c r="A45" t="s">
        <v>40</v>
      </c>
      <c r="B45">
        <v>-23.504000000000001</v>
      </c>
      <c r="C45">
        <v>120.74299999999999</v>
      </c>
    </row>
  </sheetData>
  <autoFilter ref="A3:C45" xr:uid="{733F1E2D-2923-44EA-9410-0B71163C4CEC}">
    <filterColumn colId="0">
      <filters>
        <filter val="Credit"/>
        <filter val="Goldman"/>
        <filter val="JP Morgan"/>
        <filter val="Merrill"/>
        <filter val="Morgan"/>
        <filter val="Tullett"/>
        <filter val="UBS"/>
      </filters>
    </filterColumn>
  </autoFilter>
  <pageMargins left="0.511811024" right="0.511811024" top="0.78740157499999996" bottom="0.78740157499999996" header="0.31496062000000002" footer="0.3149606200000000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69655-68CD-4E9B-BB52-5634AF59ABD9}">
  <sheetPr codeName="Planilha50" filterMode="1"/>
  <dimension ref="A1:C37"/>
  <sheetViews>
    <sheetView workbookViewId="0">
      <selection activeCell="B35" sqref="B35"/>
    </sheetView>
  </sheetViews>
  <sheetFormatPr defaultRowHeight="15" x14ac:dyDescent="0.25"/>
  <sheetData>
    <row r="1" spans="1:3" x14ac:dyDescent="0.25">
      <c r="A1" t="s">
        <v>49</v>
      </c>
    </row>
    <row r="2" spans="1:3" x14ac:dyDescent="0.25">
      <c r="A2">
        <f>_xlfn.AGGREGATE(9,5,A4:B70)</f>
        <v>1385</v>
      </c>
    </row>
    <row r="3" spans="1:3" x14ac:dyDescent="0.25">
      <c r="A3" t="s">
        <v>3</v>
      </c>
      <c r="B3" t="s">
        <v>4</v>
      </c>
      <c r="C3" t="s">
        <v>5</v>
      </c>
    </row>
    <row r="4" spans="1:3" hidden="1" x14ac:dyDescent="0.25">
      <c r="A4" t="s">
        <v>21</v>
      </c>
      <c r="B4">
        <v>35</v>
      </c>
      <c r="C4">
        <v>120.905</v>
      </c>
    </row>
    <row r="5" spans="1:3" hidden="1" x14ac:dyDescent="0.25">
      <c r="A5" t="s">
        <v>14</v>
      </c>
      <c r="B5">
        <v>1.1850000000000001</v>
      </c>
      <c r="C5">
        <v>120.46599999999999</v>
      </c>
    </row>
    <row r="6" spans="1:3" hidden="1" x14ac:dyDescent="0.25">
      <c r="A6" t="s">
        <v>43</v>
      </c>
      <c r="B6">
        <v>4.5350000000000001</v>
      </c>
      <c r="C6">
        <v>120.895</v>
      </c>
    </row>
    <row r="7" spans="1:3" hidden="1" x14ac:dyDescent="0.25">
      <c r="A7" t="s">
        <v>35</v>
      </c>
      <c r="B7">
        <v>-2.145</v>
      </c>
      <c r="C7">
        <v>120.072</v>
      </c>
    </row>
    <row r="8" spans="1:3" hidden="1" x14ac:dyDescent="0.25">
      <c r="A8" t="s">
        <v>41</v>
      </c>
      <c r="B8">
        <v>5.59</v>
      </c>
      <c r="C8">
        <v>120.616</v>
      </c>
    </row>
    <row r="9" spans="1:3" hidden="1" x14ac:dyDescent="0.25">
      <c r="A9" t="s">
        <v>12</v>
      </c>
      <c r="B9">
        <v>2.09</v>
      </c>
      <c r="C9">
        <v>120.31100000000001</v>
      </c>
    </row>
    <row r="10" spans="1:3" hidden="1" x14ac:dyDescent="0.25">
      <c r="A10" t="s">
        <v>37</v>
      </c>
      <c r="B10">
        <v>-1.2</v>
      </c>
      <c r="C10">
        <v>120.31100000000001</v>
      </c>
    </row>
    <row r="11" spans="1:3" hidden="1" x14ac:dyDescent="0.25">
      <c r="A11" t="s">
        <v>16</v>
      </c>
      <c r="B11">
        <v>-30</v>
      </c>
      <c r="C11">
        <v>117.327</v>
      </c>
    </row>
    <row r="12" spans="1:3" x14ac:dyDescent="0.25">
      <c r="A12" t="s">
        <v>17</v>
      </c>
      <c r="B12">
        <v>-565</v>
      </c>
      <c r="C12">
        <v>120.83</v>
      </c>
    </row>
    <row r="13" spans="1:3" hidden="1" x14ac:dyDescent="0.25">
      <c r="A13" t="s">
        <v>9</v>
      </c>
      <c r="B13">
        <v>-170</v>
      </c>
      <c r="C13">
        <v>120.688</v>
      </c>
    </row>
    <row r="14" spans="1:3" x14ac:dyDescent="0.25">
      <c r="A14" t="s">
        <v>33</v>
      </c>
      <c r="B14">
        <v>-210</v>
      </c>
      <c r="C14">
        <v>120.22</v>
      </c>
    </row>
    <row r="15" spans="1:3" hidden="1" x14ac:dyDescent="0.25">
      <c r="A15" t="s">
        <v>13</v>
      </c>
      <c r="B15">
        <v>-225</v>
      </c>
      <c r="C15">
        <v>119.91800000000001</v>
      </c>
    </row>
    <row r="16" spans="1:3" hidden="1" x14ac:dyDescent="0.25">
      <c r="A16" t="s">
        <v>19</v>
      </c>
      <c r="B16">
        <v>-320</v>
      </c>
      <c r="C16">
        <v>120.83799999999999</v>
      </c>
    </row>
    <row r="17" spans="1:3" hidden="1" x14ac:dyDescent="0.25">
      <c r="A17" t="s">
        <v>40</v>
      </c>
      <c r="B17">
        <v>4.7149999999999999</v>
      </c>
      <c r="C17">
        <v>120.712</v>
      </c>
    </row>
    <row r="18" spans="1:3" hidden="1" x14ac:dyDescent="0.25">
      <c r="A18" t="s">
        <v>25</v>
      </c>
      <c r="B18">
        <v>-110</v>
      </c>
      <c r="C18">
        <v>120.642</v>
      </c>
    </row>
    <row r="19" spans="1:3" hidden="1" x14ac:dyDescent="0.25">
      <c r="A19" t="s">
        <v>39</v>
      </c>
      <c r="B19">
        <v>-4.3499999999999996</v>
      </c>
      <c r="C19">
        <v>120.14400000000001</v>
      </c>
    </row>
    <row r="20" spans="1:3" x14ac:dyDescent="0.25">
      <c r="A20" t="s">
        <v>7</v>
      </c>
      <c r="B20">
        <v>430</v>
      </c>
      <c r="C20">
        <v>121.116</v>
      </c>
    </row>
    <row r="21" spans="1:3" x14ac:dyDescent="0.25">
      <c r="A21" t="s">
        <v>42</v>
      </c>
      <c r="B21">
        <v>-590</v>
      </c>
      <c r="C21">
        <v>120.824</v>
      </c>
    </row>
    <row r="22" spans="1:3" hidden="1" x14ac:dyDescent="0.25">
      <c r="A22" t="s">
        <v>29</v>
      </c>
      <c r="B22">
        <v>-25</v>
      </c>
      <c r="C22">
        <v>119.86499999999999</v>
      </c>
    </row>
    <row r="23" spans="1:3" hidden="1" x14ac:dyDescent="0.25">
      <c r="A23" t="s">
        <v>38</v>
      </c>
      <c r="B23">
        <v>-810</v>
      </c>
      <c r="C23">
        <v>120.774</v>
      </c>
    </row>
    <row r="24" spans="1:3" x14ac:dyDescent="0.25">
      <c r="A24" t="s">
        <v>44</v>
      </c>
      <c r="B24">
        <v>2610</v>
      </c>
      <c r="C24">
        <v>120.444</v>
      </c>
    </row>
    <row r="25" spans="1:3" hidden="1" x14ac:dyDescent="0.25">
      <c r="A25" t="s">
        <v>20</v>
      </c>
      <c r="B25">
        <v>265</v>
      </c>
      <c r="C25">
        <v>118.75</v>
      </c>
    </row>
    <row r="26" spans="1:3" hidden="1" x14ac:dyDescent="0.25">
      <c r="A26" t="s">
        <v>36</v>
      </c>
      <c r="B26">
        <v>-2.54</v>
      </c>
      <c r="C26">
        <v>120.893</v>
      </c>
    </row>
    <row r="27" spans="1:3" hidden="1" x14ac:dyDescent="0.25">
      <c r="A27" t="s">
        <v>26</v>
      </c>
      <c r="B27">
        <v>-160</v>
      </c>
      <c r="C27">
        <v>120.508</v>
      </c>
    </row>
    <row r="28" spans="1:3" hidden="1" x14ac:dyDescent="0.25">
      <c r="A28" t="s">
        <v>46</v>
      </c>
      <c r="B28">
        <v>-390</v>
      </c>
      <c r="C28">
        <v>120.05500000000001</v>
      </c>
    </row>
    <row r="29" spans="1:3" hidden="1" x14ac:dyDescent="0.25">
      <c r="A29" t="s">
        <v>18</v>
      </c>
      <c r="B29">
        <v>-10</v>
      </c>
      <c r="C29">
        <v>119.578</v>
      </c>
    </row>
    <row r="30" spans="1:3" hidden="1" x14ac:dyDescent="0.25">
      <c r="A30" t="s">
        <v>24</v>
      </c>
      <c r="B30">
        <v>-15</v>
      </c>
      <c r="C30">
        <v>120.185</v>
      </c>
    </row>
    <row r="31" spans="1:3" hidden="1" x14ac:dyDescent="0.25">
      <c r="A31" t="s">
        <v>11</v>
      </c>
      <c r="B31">
        <v>-300</v>
      </c>
      <c r="C31">
        <v>120.386</v>
      </c>
    </row>
    <row r="32" spans="1:3" hidden="1" x14ac:dyDescent="0.25">
      <c r="A32" t="s">
        <v>30</v>
      </c>
      <c r="B32">
        <v>-35</v>
      </c>
      <c r="C32">
        <v>120.40900000000001</v>
      </c>
    </row>
    <row r="33" spans="1:3" hidden="1" x14ac:dyDescent="0.25">
      <c r="A33" t="s">
        <v>15</v>
      </c>
      <c r="B33">
        <v>515</v>
      </c>
      <c r="C33">
        <v>120.035</v>
      </c>
    </row>
    <row r="34" spans="1:3" x14ac:dyDescent="0.25">
      <c r="A34" t="s">
        <v>28</v>
      </c>
      <c r="B34">
        <v>-1035</v>
      </c>
      <c r="C34">
        <v>120.47199999999999</v>
      </c>
    </row>
    <row r="35" spans="1:3" x14ac:dyDescent="0.25">
      <c r="A35" t="s">
        <v>8</v>
      </c>
      <c r="B35">
        <v>745</v>
      </c>
      <c r="C35">
        <v>117.33199999999999</v>
      </c>
    </row>
    <row r="36" spans="1:3" hidden="1" x14ac:dyDescent="0.25">
      <c r="A36" t="s">
        <v>45</v>
      </c>
      <c r="B36">
        <v>-300</v>
      </c>
      <c r="C36">
        <v>120.453</v>
      </c>
    </row>
    <row r="37" spans="1:3" hidden="1" x14ac:dyDescent="0.25">
      <c r="A37" t="s">
        <v>6</v>
      </c>
      <c r="B37">
        <v>-7.18</v>
      </c>
      <c r="C37">
        <v>120.71599999999999</v>
      </c>
    </row>
  </sheetData>
  <autoFilter ref="A3:C37" xr:uid="{E6D69655-68CD-4E9B-BB52-5634AF59ABD9}">
    <filterColumn colId="0">
      <filters>
        <filter val="Credit"/>
        <filter val="Goldman"/>
        <filter val="JP Morgan"/>
        <filter val="Merrill"/>
        <filter val="Morgan"/>
        <filter val="Tullett"/>
        <filter val="UBS"/>
      </filters>
    </filterColumn>
  </autoFilter>
  <pageMargins left="0.511811024" right="0.511811024" top="0.78740157499999996" bottom="0.78740157499999996" header="0.31496062000000002" footer="0.3149606200000000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97EFF-8B84-4F80-8C37-5E675ED84002}">
  <sheetPr codeName="Planilha51" filterMode="1"/>
  <dimension ref="A1:C45"/>
  <sheetViews>
    <sheetView workbookViewId="0">
      <selection activeCell="B2" sqref="B2"/>
    </sheetView>
  </sheetViews>
  <sheetFormatPr defaultRowHeight="15" x14ac:dyDescent="0.25"/>
  <sheetData>
    <row r="1" spans="1:3" x14ac:dyDescent="0.25">
      <c r="A1" t="s">
        <v>49</v>
      </c>
    </row>
    <row r="2" spans="1:3" x14ac:dyDescent="0.25">
      <c r="A2">
        <f>_xlfn.AGGREGATE(9,5,A4:B70)</f>
        <v>69637</v>
      </c>
    </row>
    <row r="3" spans="1:3" x14ac:dyDescent="0.25">
      <c r="A3" t="s">
        <v>3</v>
      </c>
      <c r="B3" t="s">
        <v>4</v>
      </c>
      <c r="C3" t="s">
        <v>5</v>
      </c>
    </row>
    <row r="4" spans="1:3" x14ac:dyDescent="0.25">
      <c r="A4" t="s">
        <v>8</v>
      </c>
      <c r="B4">
        <v>31169</v>
      </c>
      <c r="C4">
        <v>119.61799999999999</v>
      </c>
    </row>
    <row r="5" spans="1:3" x14ac:dyDescent="0.25">
      <c r="A5" t="s">
        <v>33</v>
      </c>
      <c r="B5">
        <v>30258</v>
      </c>
      <c r="C5">
        <v>119.46899999999999</v>
      </c>
    </row>
    <row r="6" spans="1:3" hidden="1" x14ac:dyDescent="0.25">
      <c r="A6" t="s">
        <v>20</v>
      </c>
      <c r="B6">
        <v>24.936</v>
      </c>
      <c r="C6">
        <v>119.658</v>
      </c>
    </row>
    <row r="7" spans="1:3" x14ac:dyDescent="0.25">
      <c r="A7" t="s">
        <v>7</v>
      </c>
      <c r="B7">
        <v>24396</v>
      </c>
      <c r="C7">
        <v>119.75700000000001</v>
      </c>
    </row>
    <row r="8" spans="1:3" hidden="1" x14ac:dyDescent="0.25">
      <c r="A8" t="s">
        <v>10</v>
      </c>
      <c r="B8">
        <v>9.33</v>
      </c>
      <c r="C8">
        <v>120.592</v>
      </c>
    </row>
    <row r="9" spans="1:3" hidden="1" x14ac:dyDescent="0.25">
      <c r="A9" t="s">
        <v>43</v>
      </c>
      <c r="B9">
        <v>6.8250000000000002</v>
      </c>
      <c r="C9">
        <v>119.94499999999999</v>
      </c>
    </row>
    <row r="10" spans="1:3" x14ac:dyDescent="0.25">
      <c r="A10" t="s">
        <v>17</v>
      </c>
      <c r="B10">
        <v>6600</v>
      </c>
      <c r="C10">
        <v>119.997</v>
      </c>
    </row>
    <row r="11" spans="1:3" hidden="1" x14ac:dyDescent="0.25">
      <c r="A11" t="s">
        <v>12</v>
      </c>
      <c r="B11">
        <v>5.8609999999999998</v>
      </c>
      <c r="C11">
        <v>120.996</v>
      </c>
    </row>
    <row r="12" spans="1:3" hidden="1" x14ac:dyDescent="0.25">
      <c r="A12" t="s">
        <v>34</v>
      </c>
      <c r="B12">
        <v>2.859</v>
      </c>
      <c r="C12">
        <v>121.709</v>
      </c>
    </row>
    <row r="13" spans="1:3" hidden="1" x14ac:dyDescent="0.25">
      <c r="A13" t="s">
        <v>38</v>
      </c>
      <c r="B13">
        <v>2.7160000000000002</v>
      </c>
      <c r="C13">
        <v>124.098</v>
      </c>
    </row>
    <row r="14" spans="1:3" x14ac:dyDescent="0.25">
      <c r="A14" t="s">
        <v>42</v>
      </c>
      <c r="B14">
        <v>1607</v>
      </c>
      <c r="C14">
        <v>120.604</v>
      </c>
    </row>
    <row r="15" spans="1:3" hidden="1" x14ac:dyDescent="0.25">
      <c r="A15" t="s">
        <v>39</v>
      </c>
      <c r="B15">
        <v>744</v>
      </c>
      <c r="C15">
        <v>122.313</v>
      </c>
    </row>
    <row r="16" spans="1:3" hidden="1" x14ac:dyDescent="0.25">
      <c r="A16" t="s">
        <v>19</v>
      </c>
      <c r="B16">
        <v>503</v>
      </c>
      <c r="C16">
        <v>121.014</v>
      </c>
    </row>
    <row r="17" spans="1:3" hidden="1" x14ac:dyDescent="0.25">
      <c r="A17" t="s">
        <v>13</v>
      </c>
      <c r="B17">
        <v>414</v>
      </c>
      <c r="C17">
        <v>118.91200000000001</v>
      </c>
    </row>
    <row r="18" spans="1:3" hidden="1" x14ac:dyDescent="0.25">
      <c r="A18" t="s">
        <v>27</v>
      </c>
      <c r="B18">
        <v>1</v>
      </c>
      <c r="C18">
        <v>200.80500000000001</v>
      </c>
    </row>
    <row r="19" spans="1:3" hidden="1" x14ac:dyDescent="0.25">
      <c r="A19" t="s">
        <v>174</v>
      </c>
      <c r="B19">
        <v>-1</v>
      </c>
      <c r="C19">
        <v>119.155</v>
      </c>
    </row>
    <row r="20" spans="1:3" hidden="1" x14ac:dyDescent="0.25">
      <c r="A20" t="s">
        <v>23</v>
      </c>
      <c r="B20">
        <v>-23</v>
      </c>
      <c r="C20">
        <v>98.506</v>
      </c>
    </row>
    <row r="21" spans="1:3" hidden="1" x14ac:dyDescent="0.25">
      <c r="A21" t="s">
        <v>24</v>
      </c>
      <c r="B21">
        <v>-76</v>
      </c>
      <c r="C21">
        <v>119.434</v>
      </c>
    </row>
    <row r="22" spans="1:3" hidden="1" x14ac:dyDescent="0.25">
      <c r="A22" t="s">
        <v>26</v>
      </c>
      <c r="B22">
        <v>-142</v>
      </c>
      <c r="C22">
        <v>120.026</v>
      </c>
    </row>
    <row r="23" spans="1:3" hidden="1" x14ac:dyDescent="0.25">
      <c r="A23" t="s">
        <v>32</v>
      </c>
      <c r="B23">
        <v>-149</v>
      </c>
      <c r="C23">
        <v>119.997</v>
      </c>
    </row>
    <row r="24" spans="1:3" hidden="1" x14ac:dyDescent="0.25">
      <c r="A24" t="s">
        <v>22</v>
      </c>
      <c r="B24">
        <v>-158</v>
      </c>
      <c r="C24">
        <v>119.74</v>
      </c>
    </row>
    <row r="25" spans="1:3" hidden="1" x14ac:dyDescent="0.25">
      <c r="A25" t="s">
        <v>45</v>
      </c>
      <c r="B25">
        <v>-162</v>
      </c>
      <c r="C25">
        <v>120.379</v>
      </c>
    </row>
    <row r="26" spans="1:3" hidden="1" x14ac:dyDescent="0.25">
      <c r="A26" t="s">
        <v>30</v>
      </c>
      <c r="B26">
        <v>-297</v>
      </c>
      <c r="C26">
        <v>119.892</v>
      </c>
    </row>
    <row r="27" spans="1:3" hidden="1" x14ac:dyDescent="0.25">
      <c r="A27" t="s">
        <v>46</v>
      </c>
      <c r="B27">
        <v>-414</v>
      </c>
      <c r="C27">
        <v>120.348</v>
      </c>
    </row>
    <row r="28" spans="1:3" hidden="1" x14ac:dyDescent="0.25">
      <c r="A28" t="s">
        <v>31</v>
      </c>
      <c r="B28">
        <v>-425</v>
      </c>
      <c r="C28">
        <v>119.672</v>
      </c>
    </row>
    <row r="29" spans="1:3" hidden="1" x14ac:dyDescent="0.25">
      <c r="A29" t="s">
        <v>21</v>
      </c>
      <c r="B29">
        <v>-855</v>
      </c>
      <c r="C29">
        <v>119.285</v>
      </c>
    </row>
    <row r="30" spans="1:3" hidden="1" x14ac:dyDescent="0.25">
      <c r="A30" t="s">
        <v>35</v>
      </c>
      <c r="B30">
        <v>-993</v>
      </c>
      <c r="C30">
        <v>115.2</v>
      </c>
    </row>
    <row r="31" spans="1:3" hidden="1" x14ac:dyDescent="0.25">
      <c r="A31" t="s">
        <v>29</v>
      </c>
      <c r="B31">
        <v>-1.01</v>
      </c>
      <c r="C31">
        <v>119.664</v>
      </c>
    </row>
    <row r="32" spans="1:3" hidden="1" x14ac:dyDescent="0.25">
      <c r="A32" t="s">
        <v>18</v>
      </c>
      <c r="B32">
        <v>-2.2269999999999999</v>
      </c>
      <c r="C32">
        <v>115.066</v>
      </c>
    </row>
    <row r="33" spans="1:3" hidden="1" x14ac:dyDescent="0.25">
      <c r="A33" t="s">
        <v>36</v>
      </c>
      <c r="B33">
        <v>-2.6070000000000002</v>
      </c>
      <c r="C33">
        <v>118.35899999999999</v>
      </c>
    </row>
    <row r="34" spans="1:3" hidden="1" x14ac:dyDescent="0.25">
      <c r="A34" t="s">
        <v>11</v>
      </c>
      <c r="B34">
        <v>-2.8719999999999999</v>
      </c>
      <c r="C34">
        <v>120.42400000000001</v>
      </c>
    </row>
    <row r="35" spans="1:3" hidden="1" x14ac:dyDescent="0.25">
      <c r="A35" t="s">
        <v>14</v>
      </c>
      <c r="B35">
        <v>-2.9329999999999998</v>
      </c>
      <c r="C35">
        <v>120.682</v>
      </c>
    </row>
    <row r="36" spans="1:3" hidden="1" x14ac:dyDescent="0.25">
      <c r="A36" t="s">
        <v>15</v>
      </c>
      <c r="B36">
        <v>-3.1619999999999999</v>
      </c>
      <c r="C36">
        <v>119.452</v>
      </c>
    </row>
    <row r="37" spans="1:3" x14ac:dyDescent="0.25">
      <c r="A37" t="s">
        <v>28</v>
      </c>
      <c r="B37">
        <v>-4096</v>
      </c>
      <c r="C37">
        <v>121.261</v>
      </c>
    </row>
    <row r="38" spans="1:3" hidden="1" x14ac:dyDescent="0.25">
      <c r="A38" t="s">
        <v>25</v>
      </c>
      <c r="B38">
        <v>-5.2270000000000003</v>
      </c>
      <c r="C38">
        <v>120.501</v>
      </c>
    </row>
    <row r="39" spans="1:3" hidden="1" x14ac:dyDescent="0.25">
      <c r="A39" t="s">
        <v>37</v>
      </c>
      <c r="B39">
        <v>-8.2040000000000006</v>
      </c>
      <c r="C39">
        <v>119.02500000000001</v>
      </c>
    </row>
    <row r="40" spans="1:3" hidden="1" x14ac:dyDescent="0.25">
      <c r="A40" t="s">
        <v>16</v>
      </c>
      <c r="B40">
        <v>-8.4</v>
      </c>
      <c r="C40">
        <v>118</v>
      </c>
    </row>
    <row r="41" spans="1:3" hidden="1" x14ac:dyDescent="0.25">
      <c r="A41" t="s">
        <v>40</v>
      </c>
      <c r="B41">
        <v>-15.272</v>
      </c>
      <c r="C41">
        <v>121.158</v>
      </c>
    </row>
    <row r="42" spans="1:3" hidden="1" x14ac:dyDescent="0.25">
      <c r="A42" t="s">
        <v>9</v>
      </c>
      <c r="B42">
        <v>-15.388</v>
      </c>
      <c r="C42">
        <v>120.968</v>
      </c>
    </row>
    <row r="43" spans="1:3" x14ac:dyDescent="0.25">
      <c r="A43" t="s">
        <v>44</v>
      </c>
      <c r="B43">
        <v>-20297</v>
      </c>
      <c r="C43">
        <v>120.824</v>
      </c>
    </row>
    <row r="44" spans="1:3" hidden="1" x14ac:dyDescent="0.25">
      <c r="A44" t="s">
        <v>6</v>
      </c>
      <c r="B44">
        <v>-26.021999999999998</v>
      </c>
      <c r="C44">
        <v>118.64</v>
      </c>
    </row>
    <row r="45" spans="1:3" hidden="1" x14ac:dyDescent="0.25">
      <c r="A45" t="s">
        <v>41</v>
      </c>
      <c r="B45">
        <v>-26.806999999999999</v>
      </c>
      <c r="C45">
        <v>120.393</v>
      </c>
    </row>
  </sheetData>
  <autoFilter ref="A3:C45" xr:uid="{CFE97EFF-8B84-4F80-8C37-5E675ED84002}">
    <filterColumn colId="0">
      <filters>
        <filter val="Credit"/>
        <filter val="Goldman"/>
        <filter val="JP Morgan"/>
        <filter val="Merrill"/>
        <filter val="Morgan"/>
        <filter val="Tullett"/>
        <filter val="UBS"/>
      </filters>
    </filterColumn>
  </autoFilter>
  <pageMargins left="0.511811024" right="0.511811024" top="0.78740157499999996" bottom="0.78740157499999996" header="0.31496062000000002" footer="0.3149606200000000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3247FF-617E-4407-A1C1-B2965C488389}">
  <sheetPr codeName="Planilha52" filterMode="1"/>
  <dimension ref="A1:C37"/>
  <sheetViews>
    <sheetView workbookViewId="0">
      <selection activeCell="K22" sqref="K22"/>
    </sheetView>
  </sheetViews>
  <sheetFormatPr defaultRowHeight="15" x14ac:dyDescent="0.25"/>
  <sheetData>
    <row r="1" spans="1:3" x14ac:dyDescent="0.25">
      <c r="A1" t="s">
        <v>49</v>
      </c>
    </row>
    <row r="2" spans="1:3" x14ac:dyDescent="0.25">
      <c r="A2">
        <f>_xlfn.AGGREGATE(9,5,A4:B70)</f>
        <v>-2815</v>
      </c>
    </row>
    <row r="3" spans="1:3" x14ac:dyDescent="0.25">
      <c r="A3" t="s">
        <v>3</v>
      </c>
      <c r="B3" t="s">
        <v>4</v>
      </c>
      <c r="C3" t="s">
        <v>5</v>
      </c>
    </row>
    <row r="4" spans="1:3" hidden="1" x14ac:dyDescent="0.25">
      <c r="A4" t="s">
        <v>21</v>
      </c>
      <c r="B4">
        <v>-10</v>
      </c>
      <c r="C4">
        <v>116.553</v>
      </c>
    </row>
    <row r="5" spans="1:3" hidden="1" x14ac:dyDescent="0.25">
      <c r="A5" t="s">
        <v>14</v>
      </c>
      <c r="B5">
        <v>-935</v>
      </c>
      <c r="C5">
        <v>118.58499999999999</v>
      </c>
    </row>
    <row r="6" spans="1:3" hidden="1" x14ac:dyDescent="0.25">
      <c r="A6" t="s">
        <v>43</v>
      </c>
      <c r="B6">
        <v>1.125</v>
      </c>
      <c r="C6">
        <v>119.11</v>
      </c>
    </row>
    <row r="7" spans="1:3" hidden="1" x14ac:dyDescent="0.25">
      <c r="A7" t="s">
        <v>35</v>
      </c>
      <c r="B7">
        <v>-950</v>
      </c>
      <c r="C7">
        <v>118.254</v>
      </c>
    </row>
    <row r="8" spans="1:3" hidden="1" x14ac:dyDescent="0.25">
      <c r="A8" t="s">
        <v>41</v>
      </c>
      <c r="B8">
        <v>140</v>
      </c>
      <c r="C8">
        <v>118.05500000000001</v>
      </c>
    </row>
    <row r="9" spans="1:3" hidden="1" x14ac:dyDescent="0.25">
      <c r="A9" t="s">
        <v>12</v>
      </c>
      <c r="B9">
        <v>45</v>
      </c>
      <c r="C9">
        <v>118.232</v>
      </c>
    </row>
    <row r="10" spans="1:3" hidden="1" x14ac:dyDescent="0.25">
      <c r="A10" t="s">
        <v>37</v>
      </c>
      <c r="B10">
        <v>-450</v>
      </c>
      <c r="C10">
        <v>118.262</v>
      </c>
    </row>
    <row r="11" spans="1:3" hidden="1" x14ac:dyDescent="0.25">
      <c r="A11" t="s">
        <v>16</v>
      </c>
      <c r="B11">
        <v>-35</v>
      </c>
      <c r="C11">
        <v>118.404</v>
      </c>
    </row>
    <row r="12" spans="1:3" x14ac:dyDescent="0.25">
      <c r="A12" t="s">
        <v>17</v>
      </c>
      <c r="B12">
        <v>-470</v>
      </c>
      <c r="C12">
        <v>118.32299999999999</v>
      </c>
    </row>
    <row r="13" spans="1:3" hidden="1" x14ac:dyDescent="0.25">
      <c r="A13" t="s">
        <v>9</v>
      </c>
      <c r="B13">
        <v>3.46</v>
      </c>
      <c r="C13">
        <v>118.11</v>
      </c>
    </row>
    <row r="14" spans="1:3" x14ac:dyDescent="0.25">
      <c r="A14" t="s">
        <v>33</v>
      </c>
      <c r="B14">
        <v>-30</v>
      </c>
      <c r="C14">
        <v>117.947</v>
      </c>
    </row>
    <row r="15" spans="1:3" hidden="1" x14ac:dyDescent="0.25">
      <c r="A15" t="s">
        <v>13</v>
      </c>
      <c r="B15">
        <v>45</v>
      </c>
      <c r="C15">
        <v>117.188</v>
      </c>
    </row>
    <row r="16" spans="1:3" hidden="1" x14ac:dyDescent="0.25">
      <c r="A16" t="s">
        <v>32</v>
      </c>
      <c r="B16">
        <v>5</v>
      </c>
      <c r="C16">
        <v>116.705</v>
      </c>
    </row>
    <row r="17" spans="1:3" hidden="1" x14ac:dyDescent="0.25">
      <c r="A17" t="s">
        <v>19</v>
      </c>
      <c r="B17">
        <v>15</v>
      </c>
      <c r="C17">
        <v>119.598</v>
      </c>
    </row>
    <row r="18" spans="1:3" hidden="1" x14ac:dyDescent="0.25">
      <c r="A18" t="s">
        <v>40</v>
      </c>
      <c r="B18">
        <v>1.2649999999999999</v>
      </c>
      <c r="C18">
        <v>118.952</v>
      </c>
    </row>
    <row r="19" spans="1:3" hidden="1" x14ac:dyDescent="0.25">
      <c r="A19" t="s">
        <v>25</v>
      </c>
      <c r="B19">
        <v>70</v>
      </c>
      <c r="C19">
        <v>118.38800000000001</v>
      </c>
    </row>
    <row r="20" spans="1:3" hidden="1" x14ac:dyDescent="0.25">
      <c r="A20" t="s">
        <v>39</v>
      </c>
      <c r="B20">
        <v>-705</v>
      </c>
      <c r="C20">
        <v>119.22799999999999</v>
      </c>
    </row>
    <row r="21" spans="1:3" x14ac:dyDescent="0.25">
      <c r="A21" t="s">
        <v>7</v>
      </c>
      <c r="B21">
        <v>200</v>
      </c>
      <c r="C21">
        <v>118.95</v>
      </c>
    </row>
    <row r="22" spans="1:3" x14ac:dyDescent="0.25">
      <c r="A22" t="s">
        <v>42</v>
      </c>
      <c r="B22">
        <v>-715</v>
      </c>
      <c r="C22">
        <v>118.386</v>
      </c>
    </row>
    <row r="23" spans="1:3" hidden="1" x14ac:dyDescent="0.25">
      <c r="A23" t="s">
        <v>29</v>
      </c>
      <c r="B23">
        <v>10</v>
      </c>
      <c r="C23">
        <v>117.753</v>
      </c>
    </row>
    <row r="24" spans="1:3" hidden="1" x14ac:dyDescent="0.25">
      <c r="A24" t="s">
        <v>38</v>
      </c>
      <c r="B24">
        <v>-715</v>
      </c>
      <c r="C24">
        <v>118.327</v>
      </c>
    </row>
    <row r="25" spans="1:3" x14ac:dyDescent="0.25">
      <c r="A25" t="s">
        <v>44</v>
      </c>
      <c r="B25">
        <v>-655</v>
      </c>
      <c r="C25">
        <v>118.393</v>
      </c>
    </row>
    <row r="26" spans="1:3" hidden="1" x14ac:dyDescent="0.25">
      <c r="A26" t="s">
        <v>20</v>
      </c>
      <c r="B26">
        <v>85</v>
      </c>
      <c r="C26">
        <v>116.637</v>
      </c>
    </row>
    <row r="27" spans="1:3" hidden="1" x14ac:dyDescent="0.25">
      <c r="A27" t="s">
        <v>36</v>
      </c>
      <c r="B27">
        <v>-885</v>
      </c>
      <c r="C27">
        <v>118.779</v>
      </c>
    </row>
    <row r="28" spans="1:3" hidden="1" x14ac:dyDescent="0.25">
      <c r="A28" t="s">
        <v>31</v>
      </c>
      <c r="B28">
        <v>-15</v>
      </c>
      <c r="C28">
        <v>119.363</v>
      </c>
    </row>
    <row r="29" spans="1:3" hidden="1" x14ac:dyDescent="0.25">
      <c r="A29" t="s">
        <v>26</v>
      </c>
      <c r="B29">
        <v>10</v>
      </c>
      <c r="C29">
        <v>118.5</v>
      </c>
    </row>
    <row r="30" spans="1:3" hidden="1" x14ac:dyDescent="0.25">
      <c r="A30" t="s">
        <v>46</v>
      </c>
      <c r="B30">
        <v>165</v>
      </c>
      <c r="C30">
        <v>118.16500000000001</v>
      </c>
    </row>
    <row r="31" spans="1:3" hidden="1" x14ac:dyDescent="0.25">
      <c r="A31" t="s">
        <v>24</v>
      </c>
      <c r="B31">
        <v>5</v>
      </c>
      <c r="C31">
        <v>118.35</v>
      </c>
    </row>
    <row r="32" spans="1:3" hidden="1" x14ac:dyDescent="0.25">
      <c r="A32" t="s">
        <v>11</v>
      </c>
      <c r="B32">
        <v>205</v>
      </c>
      <c r="C32">
        <v>118.557</v>
      </c>
    </row>
    <row r="33" spans="1:3" hidden="1" x14ac:dyDescent="0.25">
      <c r="A33" t="s">
        <v>30</v>
      </c>
      <c r="B33">
        <v>-70</v>
      </c>
      <c r="C33">
        <v>118.22</v>
      </c>
    </row>
    <row r="34" spans="1:3" hidden="1" x14ac:dyDescent="0.25">
      <c r="A34" t="s">
        <v>15</v>
      </c>
      <c r="B34">
        <v>-55</v>
      </c>
      <c r="C34">
        <v>113.428</v>
      </c>
    </row>
    <row r="35" spans="1:3" x14ac:dyDescent="0.25">
      <c r="A35" t="s">
        <v>28</v>
      </c>
      <c r="B35">
        <v>-925</v>
      </c>
      <c r="C35">
        <v>117.93300000000001</v>
      </c>
    </row>
    <row r="36" spans="1:3" x14ac:dyDescent="0.25">
      <c r="A36" t="s">
        <v>8</v>
      </c>
      <c r="B36">
        <v>-220</v>
      </c>
      <c r="C36">
        <v>122.602</v>
      </c>
    </row>
    <row r="37" spans="1:3" hidden="1" x14ac:dyDescent="0.25">
      <c r="A37" t="s">
        <v>6</v>
      </c>
      <c r="B37">
        <v>990</v>
      </c>
      <c r="C37">
        <v>119.05</v>
      </c>
    </row>
  </sheetData>
  <autoFilter ref="A3:C37" xr:uid="{7E3247FF-617E-4407-A1C1-B2965C488389}">
    <filterColumn colId="0">
      <filters>
        <filter val="Credit"/>
        <filter val="Goldman"/>
        <filter val="JP Morgan"/>
        <filter val="Merrill"/>
        <filter val="Morgan"/>
        <filter val="Tullett"/>
        <filter val="UBS"/>
      </filters>
    </filterColumn>
  </autoFilter>
  <pageMargins left="0.511811024" right="0.511811024" top="0.78740157499999996" bottom="0.78740157499999996" header="0.31496062000000002" footer="0.3149606200000000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0C027-1B53-4BCC-B612-27EE4D27AEBD}">
  <sheetPr codeName="Planilha53" filterMode="1"/>
  <dimension ref="A1:D43"/>
  <sheetViews>
    <sheetView workbookViewId="0">
      <selection activeCell="D1" sqref="D1"/>
    </sheetView>
  </sheetViews>
  <sheetFormatPr defaultRowHeight="15" x14ac:dyDescent="0.25"/>
  <sheetData>
    <row r="1" spans="1:4" x14ac:dyDescent="0.25">
      <c r="A1" t="s">
        <v>3</v>
      </c>
      <c r="B1" t="s">
        <v>4</v>
      </c>
      <c r="C1" t="s">
        <v>5</v>
      </c>
      <c r="D1" s="1">
        <f>SUM(B5,B8,B21,B33,B34,B39,B41)</f>
        <v>-7873</v>
      </c>
    </row>
    <row r="2" spans="1:4" hidden="1" x14ac:dyDescent="0.25">
      <c r="A2" t="s">
        <v>9</v>
      </c>
      <c r="B2" s="1">
        <v>15377</v>
      </c>
      <c r="C2" s="1">
        <v>118451</v>
      </c>
    </row>
    <row r="3" spans="1:4" hidden="1" x14ac:dyDescent="0.25">
      <c r="A3" t="s">
        <v>43</v>
      </c>
      <c r="B3" s="1">
        <v>11825</v>
      </c>
      <c r="C3" s="1">
        <v>118605</v>
      </c>
    </row>
    <row r="4" spans="1:4" hidden="1" x14ac:dyDescent="0.25">
      <c r="A4" t="s">
        <v>6</v>
      </c>
      <c r="B4" s="1">
        <v>9265</v>
      </c>
      <c r="C4" s="1">
        <v>118444</v>
      </c>
    </row>
    <row r="5" spans="1:4" x14ac:dyDescent="0.25">
      <c r="A5" t="s">
        <v>42</v>
      </c>
      <c r="B5" s="1">
        <v>5898</v>
      </c>
      <c r="C5" s="1">
        <v>118466</v>
      </c>
    </row>
    <row r="6" spans="1:4" hidden="1" x14ac:dyDescent="0.25">
      <c r="A6" t="s">
        <v>46</v>
      </c>
      <c r="B6" s="1">
        <v>5273</v>
      </c>
      <c r="C6" s="1">
        <v>118466</v>
      </c>
    </row>
    <row r="7" spans="1:4" hidden="1" x14ac:dyDescent="0.25">
      <c r="A7" t="s">
        <v>40</v>
      </c>
      <c r="B7" s="1">
        <v>4925</v>
      </c>
      <c r="C7" s="1">
        <v>118441</v>
      </c>
    </row>
    <row r="8" spans="1:4" x14ac:dyDescent="0.25">
      <c r="A8" t="s">
        <v>33</v>
      </c>
      <c r="B8" s="1">
        <v>3883</v>
      </c>
      <c r="C8" s="1">
        <v>118434</v>
      </c>
    </row>
    <row r="9" spans="1:4" hidden="1" x14ac:dyDescent="0.25">
      <c r="A9" t="s">
        <v>38</v>
      </c>
      <c r="B9" s="1">
        <v>3078</v>
      </c>
      <c r="C9" s="1">
        <v>118472</v>
      </c>
    </row>
    <row r="10" spans="1:4" hidden="1" x14ac:dyDescent="0.25">
      <c r="A10" t="s">
        <v>36</v>
      </c>
      <c r="B10" s="1">
        <v>2588</v>
      </c>
      <c r="C10" s="1">
        <v>118491</v>
      </c>
    </row>
    <row r="11" spans="1:4" hidden="1" x14ac:dyDescent="0.25">
      <c r="A11" t="s">
        <v>37</v>
      </c>
      <c r="B11" s="1">
        <v>2386</v>
      </c>
      <c r="C11" s="1">
        <v>118454</v>
      </c>
    </row>
    <row r="12" spans="1:4" hidden="1" x14ac:dyDescent="0.25">
      <c r="A12" t="s">
        <v>34</v>
      </c>
      <c r="B12" s="1">
        <v>2260</v>
      </c>
      <c r="C12" s="1">
        <v>118502</v>
      </c>
    </row>
    <row r="13" spans="1:4" hidden="1" x14ac:dyDescent="0.25">
      <c r="A13" t="s">
        <v>16</v>
      </c>
      <c r="B13" s="1">
        <v>2135</v>
      </c>
      <c r="C13" s="1">
        <v>118449</v>
      </c>
    </row>
    <row r="14" spans="1:4" hidden="1" x14ac:dyDescent="0.25">
      <c r="A14" t="s">
        <v>15</v>
      </c>
      <c r="B14" s="1">
        <v>1702</v>
      </c>
      <c r="C14" s="1">
        <v>118622</v>
      </c>
    </row>
    <row r="15" spans="1:4" hidden="1" x14ac:dyDescent="0.25">
      <c r="A15" t="s">
        <v>21</v>
      </c>
      <c r="B15" s="1">
        <v>1044</v>
      </c>
      <c r="C15" s="1">
        <v>118349</v>
      </c>
    </row>
    <row r="16" spans="1:4" hidden="1" x14ac:dyDescent="0.25">
      <c r="A16" t="s">
        <v>18</v>
      </c>
      <c r="B16">
        <v>760</v>
      </c>
      <c r="C16" s="1">
        <v>118444</v>
      </c>
    </row>
    <row r="17" spans="1:3" hidden="1" x14ac:dyDescent="0.25">
      <c r="A17" t="s">
        <v>12</v>
      </c>
      <c r="B17">
        <v>725</v>
      </c>
      <c r="C17" s="1">
        <v>118484</v>
      </c>
    </row>
    <row r="18" spans="1:3" hidden="1" x14ac:dyDescent="0.25">
      <c r="A18" t="s">
        <v>14</v>
      </c>
      <c r="B18">
        <v>591</v>
      </c>
      <c r="C18" s="1">
        <v>118460</v>
      </c>
    </row>
    <row r="19" spans="1:3" hidden="1" x14ac:dyDescent="0.25">
      <c r="A19" t="s">
        <v>45</v>
      </c>
      <c r="B19">
        <v>421</v>
      </c>
      <c r="C19" s="1">
        <v>118370</v>
      </c>
    </row>
    <row r="20" spans="1:3" hidden="1" x14ac:dyDescent="0.25">
      <c r="A20" t="s">
        <v>31</v>
      </c>
      <c r="B20">
        <v>288</v>
      </c>
      <c r="C20" s="1">
        <v>118579</v>
      </c>
    </row>
    <row r="21" spans="1:3" x14ac:dyDescent="0.25">
      <c r="A21" t="s">
        <v>44</v>
      </c>
      <c r="B21">
        <v>220</v>
      </c>
      <c r="C21" s="1">
        <v>118540</v>
      </c>
    </row>
    <row r="22" spans="1:3" hidden="1" x14ac:dyDescent="0.25">
      <c r="A22" t="s">
        <v>19</v>
      </c>
      <c r="B22">
        <v>186</v>
      </c>
      <c r="C22" s="1">
        <v>118450</v>
      </c>
    </row>
    <row r="23" spans="1:3" hidden="1" x14ac:dyDescent="0.25">
      <c r="A23" t="s">
        <v>27</v>
      </c>
      <c r="B23">
        <v>163</v>
      </c>
      <c r="C23" s="1">
        <v>118392</v>
      </c>
    </row>
    <row r="24" spans="1:3" hidden="1" x14ac:dyDescent="0.25">
      <c r="A24" t="s">
        <v>22</v>
      </c>
      <c r="B24">
        <v>100</v>
      </c>
      <c r="C24" s="1">
        <v>118483</v>
      </c>
    </row>
    <row r="25" spans="1:3" hidden="1" x14ac:dyDescent="0.25">
      <c r="A25" t="s">
        <v>26</v>
      </c>
      <c r="B25">
        <v>99</v>
      </c>
      <c r="C25" s="1">
        <v>118405</v>
      </c>
    </row>
    <row r="26" spans="1:3" hidden="1" x14ac:dyDescent="0.25">
      <c r="A26" t="s">
        <v>24</v>
      </c>
      <c r="B26">
        <v>54</v>
      </c>
      <c r="C26" s="1">
        <v>118118</v>
      </c>
    </row>
    <row r="27" spans="1:3" hidden="1" x14ac:dyDescent="0.25">
      <c r="A27" t="s">
        <v>10</v>
      </c>
      <c r="B27">
        <v>52</v>
      </c>
      <c r="C27" s="1">
        <v>118514</v>
      </c>
    </row>
    <row r="28" spans="1:3" hidden="1" x14ac:dyDescent="0.25">
      <c r="A28" t="s">
        <v>30</v>
      </c>
      <c r="B28">
        <v>40</v>
      </c>
      <c r="C28" s="1">
        <v>118335</v>
      </c>
    </row>
    <row r="29" spans="1:3" hidden="1" x14ac:dyDescent="0.25">
      <c r="A29" t="s">
        <v>32</v>
      </c>
      <c r="B29">
        <v>10</v>
      </c>
      <c r="C29" s="1">
        <v>118435</v>
      </c>
    </row>
    <row r="30" spans="1:3" hidden="1" x14ac:dyDescent="0.25">
      <c r="A30" t="s">
        <v>174</v>
      </c>
      <c r="B30">
        <v>1</v>
      </c>
      <c r="C30" s="1">
        <v>118810</v>
      </c>
    </row>
    <row r="31" spans="1:3" hidden="1" x14ac:dyDescent="0.25">
      <c r="A31" t="s">
        <v>29</v>
      </c>
      <c r="B31">
        <v>-90</v>
      </c>
      <c r="C31" s="1">
        <v>118491</v>
      </c>
    </row>
    <row r="32" spans="1:3" hidden="1" x14ac:dyDescent="0.25">
      <c r="A32" t="s">
        <v>25</v>
      </c>
      <c r="B32">
        <v>-275</v>
      </c>
      <c r="C32" s="1">
        <v>118340</v>
      </c>
    </row>
    <row r="33" spans="1:3" x14ac:dyDescent="0.25">
      <c r="A33" t="s">
        <v>17</v>
      </c>
      <c r="B33">
        <v>-337</v>
      </c>
      <c r="C33" s="1">
        <v>118499</v>
      </c>
    </row>
    <row r="34" spans="1:3" x14ac:dyDescent="0.25">
      <c r="A34" t="s">
        <v>28</v>
      </c>
      <c r="B34">
        <v>-428</v>
      </c>
      <c r="C34" s="1">
        <v>118626</v>
      </c>
    </row>
    <row r="35" spans="1:3" hidden="1" x14ac:dyDescent="0.25">
      <c r="A35" t="s">
        <v>11</v>
      </c>
      <c r="B35">
        <v>-829</v>
      </c>
      <c r="C35" s="1">
        <v>118450</v>
      </c>
    </row>
    <row r="36" spans="1:3" hidden="1" x14ac:dyDescent="0.25">
      <c r="A36" t="s">
        <v>23</v>
      </c>
      <c r="B36">
        <v>-976</v>
      </c>
      <c r="C36" s="1">
        <v>118377</v>
      </c>
    </row>
    <row r="37" spans="1:3" hidden="1" x14ac:dyDescent="0.25">
      <c r="A37" t="s">
        <v>13</v>
      </c>
      <c r="B37" s="1">
        <v>-3631</v>
      </c>
      <c r="C37" s="1">
        <v>118486</v>
      </c>
    </row>
    <row r="38" spans="1:3" hidden="1" x14ac:dyDescent="0.25">
      <c r="A38" t="s">
        <v>35</v>
      </c>
      <c r="B38" s="1">
        <v>-4424</v>
      </c>
      <c r="C38" s="1">
        <v>118458</v>
      </c>
    </row>
    <row r="39" spans="1:3" x14ac:dyDescent="0.25">
      <c r="A39" t="s">
        <v>7</v>
      </c>
      <c r="B39" s="1">
        <v>-5278</v>
      </c>
      <c r="C39" s="1">
        <v>118539</v>
      </c>
    </row>
    <row r="40" spans="1:3" hidden="1" x14ac:dyDescent="0.25">
      <c r="A40" t="s">
        <v>20</v>
      </c>
      <c r="B40" s="1">
        <v>-7223</v>
      </c>
      <c r="C40" s="1">
        <v>118474</v>
      </c>
    </row>
    <row r="41" spans="1:3" x14ac:dyDescent="0.25">
      <c r="A41" t="s">
        <v>8</v>
      </c>
      <c r="B41" s="1">
        <v>-11831</v>
      </c>
      <c r="C41" s="1">
        <v>118453</v>
      </c>
    </row>
    <row r="42" spans="1:3" hidden="1" x14ac:dyDescent="0.25">
      <c r="A42" t="s">
        <v>41</v>
      </c>
      <c r="B42" s="1">
        <v>-15255</v>
      </c>
      <c r="C42" s="1">
        <v>118500</v>
      </c>
    </row>
    <row r="43" spans="1:3" hidden="1" x14ac:dyDescent="0.25">
      <c r="A43" t="s">
        <v>39</v>
      </c>
      <c r="B43" s="1">
        <v>-24772</v>
      </c>
      <c r="C43" s="1">
        <v>118383</v>
      </c>
    </row>
  </sheetData>
  <autoFilter ref="A1:C43" xr:uid="{C190C027-1B53-4BCC-B612-27EE4D27AEBD}">
    <filterColumn colId="0">
      <filters>
        <filter val="Credit"/>
        <filter val="Goldman"/>
        <filter val="JP Morgan"/>
        <filter val="Merrill"/>
        <filter val="Morgan"/>
        <filter val="Tullett"/>
        <filter val="UBS"/>
      </filters>
    </filterColumn>
  </autoFilter>
  <pageMargins left="0.511811024" right="0.511811024" top="0.78740157499999996" bottom="0.78740157499999996" header="0.31496062000000002" footer="0.3149606200000000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614DF-A80E-4B7E-859D-CC382BA1906E}">
  <sheetPr codeName="Planilha54" filterMode="1"/>
  <dimension ref="A1:C45"/>
  <sheetViews>
    <sheetView workbookViewId="0">
      <selection activeCell="A2" sqref="A2"/>
    </sheetView>
  </sheetViews>
  <sheetFormatPr defaultRowHeight="15" x14ac:dyDescent="0.25"/>
  <sheetData>
    <row r="1" spans="1:3" x14ac:dyDescent="0.25">
      <c r="A1" t="s">
        <v>49</v>
      </c>
    </row>
    <row r="2" spans="1:3" x14ac:dyDescent="0.25">
      <c r="A2">
        <f>_xlfn.AGGREGATE(9,5,A4:B70)</f>
        <v>-15840</v>
      </c>
    </row>
    <row r="3" spans="1:3" x14ac:dyDescent="0.25">
      <c r="A3" t="s">
        <v>3</v>
      </c>
      <c r="B3" t="s">
        <v>4</v>
      </c>
      <c r="C3" t="s">
        <v>5</v>
      </c>
    </row>
    <row r="4" spans="1:3" hidden="1" x14ac:dyDescent="0.25">
      <c r="A4" t="s">
        <v>43</v>
      </c>
      <c r="B4">
        <v>25.545000000000002</v>
      </c>
      <c r="C4">
        <v>117.89400000000001</v>
      </c>
    </row>
    <row r="5" spans="1:3" x14ac:dyDescent="0.25">
      <c r="A5" t="s">
        <v>28</v>
      </c>
      <c r="B5">
        <v>19183</v>
      </c>
      <c r="C5">
        <v>117.926</v>
      </c>
    </row>
    <row r="6" spans="1:3" hidden="1" x14ac:dyDescent="0.25">
      <c r="A6" t="s">
        <v>37</v>
      </c>
      <c r="B6">
        <v>15.234999999999999</v>
      </c>
      <c r="C6">
        <v>117.911</v>
      </c>
    </row>
    <row r="7" spans="1:3" hidden="1" x14ac:dyDescent="0.25">
      <c r="A7" t="s">
        <v>13</v>
      </c>
      <c r="B7">
        <v>12.147</v>
      </c>
      <c r="C7">
        <v>117.747</v>
      </c>
    </row>
    <row r="8" spans="1:3" x14ac:dyDescent="0.25">
      <c r="A8" t="s">
        <v>33</v>
      </c>
      <c r="B8">
        <v>11412</v>
      </c>
      <c r="C8">
        <v>117.839</v>
      </c>
    </row>
    <row r="9" spans="1:3" x14ac:dyDescent="0.25">
      <c r="A9" t="s">
        <v>42</v>
      </c>
      <c r="B9">
        <v>9090</v>
      </c>
      <c r="C9">
        <v>117.973</v>
      </c>
    </row>
    <row r="10" spans="1:3" hidden="1" x14ac:dyDescent="0.25">
      <c r="A10" t="s">
        <v>6</v>
      </c>
      <c r="B10">
        <v>9.234</v>
      </c>
      <c r="C10">
        <v>117.905</v>
      </c>
    </row>
    <row r="11" spans="1:3" hidden="1" x14ac:dyDescent="0.25">
      <c r="A11" t="s">
        <v>36</v>
      </c>
      <c r="B11">
        <v>8.6460000000000008</v>
      </c>
      <c r="C11">
        <v>117.937</v>
      </c>
    </row>
    <row r="12" spans="1:3" hidden="1" x14ac:dyDescent="0.25">
      <c r="A12" t="s">
        <v>14</v>
      </c>
      <c r="B12">
        <v>4.6680000000000001</v>
      </c>
      <c r="C12">
        <v>118.113</v>
      </c>
    </row>
    <row r="13" spans="1:3" hidden="1" x14ac:dyDescent="0.25">
      <c r="A13" t="s">
        <v>38</v>
      </c>
      <c r="B13">
        <v>3.2360000000000002</v>
      </c>
      <c r="C13">
        <v>117.867</v>
      </c>
    </row>
    <row r="14" spans="1:3" hidden="1" x14ac:dyDescent="0.25">
      <c r="A14" t="s">
        <v>39</v>
      </c>
      <c r="B14">
        <v>2.294</v>
      </c>
      <c r="C14">
        <v>118.16</v>
      </c>
    </row>
    <row r="15" spans="1:3" hidden="1" x14ac:dyDescent="0.25">
      <c r="A15" t="s">
        <v>10</v>
      </c>
      <c r="B15">
        <v>2.0510000000000002</v>
      </c>
      <c r="C15">
        <v>117.828</v>
      </c>
    </row>
    <row r="16" spans="1:3" hidden="1" x14ac:dyDescent="0.25">
      <c r="A16" t="s">
        <v>46</v>
      </c>
      <c r="B16">
        <v>2.0350000000000001</v>
      </c>
      <c r="C16">
        <v>117.69199999999999</v>
      </c>
    </row>
    <row r="17" spans="1:3" hidden="1" x14ac:dyDescent="0.25">
      <c r="A17" t="s">
        <v>12</v>
      </c>
      <c r="B17">
        <v>1.06</v>
      </c>
      <c r="C17">
        <v>118.068</v>
      </c>
    </row>
    <row r="18" spans="1:3" hidden="1" x14ac:dyDescent="0.25">
      <c r="A18" t="s">
        <v>15</v>
      </c>
      <c r="B18">
        <v>733</v>
      </c>
      <c r="C18">
        <v>117.666</v>
      </c>
    </row>
    <row r="19" spans="1:3" hidden="1" x14ac:dyDescent="0.25">
      <c r="A19" t="s">
        <v>34</v>
      </c>
      <c r="B19">
        <v>734</v>
      </c>
      <c r="C19">
        <v>117.78700000000001</v>
      </c>
    </row>
    <row r="20" spans="1:3" hidden="1" x14ac:dyDescent="0.25">
      <c r="A20" t="s">
        <v>29</v>
      </c>
      <c r="B20">
        <v>703</v>
      </c>
      <c r="C20">
        <v>117.895</v>
      </c>
    </row>
    <row r="21" spans="1:3" hidden="1" x14ac:dyDescent="0.25">
      <c r="A21" t="s">
        <v>31</v>
      </c>
      <c r="B21">
        <v>376</v>
      </c>
      <c r="C21">
        <v>117.663</v>
      </c>
    </row>
    <row r="22" spans="1:3" hidden="1" x14ac:dyDescent="0.25">
      <c r="A22" t="s">
        <v>19</v>
      </c>
      <c r="B22">
        <v>376</v>
      </c>
      <c r="C22">
        <v>118.28700000000001</v>
      </c>
    </row>
    <row r="23" spans="1:3" hidden="1" x14ac:dyDescent="0.25">
      <c r="A23" t="s">
        <v>26</v>
      </c>
      <c r="B23">
        <v>48</v>
      </c>
      <c r="C23">
        <v>117.605</v>
      </c>
    </row>
    <row r="24" spans="1:3" hidden="1" x14ac:dyDescent="0.25">
      <c r="A24" t="s">
        <v>27</v>
      </c>
      <c r="B24">
        <v>7</v>
      </c>
      <c r="C24">
        <v>118.008</v>
      </c>
    </row>
    <row r="25" spans="1:3" hidden="1" x14ac:dyDescent="0.25">
      <c r="A25" t="s">
        <v>24</v>
      </c>
      <c r="B25">
        <v>5</v>
      </c>
      <c r="C25">
        <v>117.94799999999999</v>
      </c>
    </row>
    <row r="26" spans="1:3" hidden="1" x14ac:dyDescent="0.25">
      <c r="A26" t="s">
        <v>47</v>
      </c>
      <c r="B26">
        <v>4</v>
      </c>
      <c r="C26">
        <v>117.65300000000001</v>
      </c>
    </row>
    <row r="27" spans="1:3" hidden="1" x14ac:dyDescent="0.25">
      <c r="A27" t="s">
        <v>22</v>
      </c>
      <c r="B27">
        <v>2</v>
      </c>
      <c r="C27">
        <v>117.892</v>
      </c>
    </row>
    <row r="28" spans="1:3" hidden="1" x14ac:dyDescent="0.25">
      <c r="A28" t="s">
        <v>30</v>
      </c>
      <c r="B28">
        <v>-21</v>
      </c>
      <c r="C28">
        <v>118.116</v>
      </c>
    </row>
    <row r="29" spans="1:3" hidden="1" x14ac:dyDescent="0.25">
      <c r="A29" t="s">
        <v>23</v>
      </c>
      <c r="B29">
        <v>-4</v>
      </c>
      <c r="C29">
        <v>117.48399999999999</v>
      </c>
    </row>
    <row r="30" spans="1:3" hidden="1" x14ac:dyDescent="0.25">
      <c r="A30" t="s">
        <v>32</v>
      </c>
      <c r="B30">
        <v>-77</v>
      </c>
      <c r="C30">
        <v>118.13800000000001</v>
      </c>
    </row>
    <row r="31" spans="1:3" hidden="1" x14ac:dyDescent="0.25">
      <c r="A31" t="s">
        <v>45</v>
      </c>
      <c r="B31">
        <v>-134</v>
      </c>
      <c r="C31">
        <v>118.235</v>
      </c>
    </row>
    <row r="32" spans="1:3" hidden="1" x14ac:dyDescent="0.25">
      <c r="A32" t="s">
        <v>21</v>
      </c>
      <c r="B32">
        <v>-397</v>
      </c>
      <c r="C32">
        <v>117.974</v>
      </c>
    </row>
    <row r="33" spans="1:3" hidden="1" x14ac:dyDescent="0.25">
      <c r="A33" t="s">
        <v>18</v>
      </c>
      <c r="B33">
        <v>-1.1319999999999999</v>
      </c>
      <c r="C33">
        <v>117.85899999999999</v>
      </c>
    </row>
    <row r="34" spans="1:3" hidden="1" x14ac:dyDescent="0.25">
      <c r="A34" t="s">
        <v>25</v>
      </c>
      <c r="B34">
        <v>-1.18</v>
      </c>
      <c r="C34">
        <v>117.96</v>
      </c>
    </row>
    <row r="35" spans="1:3" hidden="1" x14ac:dyDescent="0.25">
      <c r="A35" t="s">
        <v>16</v>
      </c>
      <c r="B35">
        <v>-1.337</v>
      </c>
      <c r="C35">
        <v>117.883</v>
      </c>
    </row>
    <row r="36" spans="1:3" x14ac:dyDescent="0.25">
      <c r="A36" t="s">
        <v>17</v>
      </c>
      <c r="B36">
        <v>-3379</v>
      </c>
      <c r="C36">
        <v>117.98099999999999</v>
      </c>
    </row>
    <row r="37" spans="1:3" hidden="1" x14ac:dyDescent="0.25">
      <c r="A37" t="s">
        <v>11</v>
      </c>
      <c r="B37">
        <v>-3.95</v>
      </c>
      <c r="C37">
        <v>118.07299999999999</v>
      </c>
    </row>
    <row r="38" spans="1:3" hidden="1" x14ac:dyDescent="0.25">
      <c r="A38" t="s">
        <v>20</v>
      </c>
      <c r="B38">
        <v>-6.6909999999999998</v>
      </c>
      <c r="C38">
        <v>117.774</v>
      </c>
    </row>
    <row r="39" spans="1:3" x14ac:dyDescent="0.25">
      <c r="A39" t="s">
        <v>44</v>
      </c>
      <c r="B39">
        <v>-12800</v>
      </c>
      <c r="C39">
        <v>118.157</v>
      </c>
    </row>
    <row r="40" spans="1:3" hidden="1" x14ac:dyDescent="0.25">
      <c r="A40" t="s">
        <v>40</v>
      </c>
      <c r="B40">
        <v>-12.968</v>
      </c>
      <c r="C40">
        <v>117.81399999999999</v>
      </c>
    </row>
    <row r="41" spans="1:3" hidden="1" x14ac:dyDescent="0.25">
      <c r="A41" t="s">
        <v>9</v>
      </c>
      <c r="B41">
        <v>-13.669</v>
      </c>
      <c r="C41">
        <v>117.9</v>
      </c>
    </row>
    <row r="42" spans="1:3" hidden="1" x14ac:dyDescent="0.25">
      <c r="A42" t="s">
        <v>41</v>
      </c>
      <c r="B42">
        <v>-15.644</v>
      </c>
      <c r="C42">
        <v>117.8</v>
      </c>
    </row>
    <row r="43" spans="1:3" hidden="1" x14ac:dyDescent="0.25">
      <c r="A43" t="s">
        <v>35</v>
      </c>
      <c r="B43">
        <v>-16.094999999999999</v>
      </c>
      <c r="C43">
        <v>117.886</v>
      </c>
    </row>
    <row r="44" spans="1:3" x14ac:dyDescent="0.25">
      <c r="A44" t="s">
        <v>7</v>
      </c>
      <c r="B44">
        <v>-17210</v>
      </c>
      <c r="C44">
        <v>117.748</v>
      </c>
    </row>
    <row r="45" spans="1:3" x14ac:dyDescent="0.25">
      <c r="A45" t="s">
        <v>8</v>
      </c>
      <c r="B45">
        <v>-22136</v>
      </c>
      <c r="C45">
        <v>117.916</v>
      </c>
    </row>
  </sheetData>
  <autoFilter ref="A3:C45" xr:uid="{558614DF-A80E-4B7E-859D-CC382BA1906E}">
    <filterColumn colId="0">
      <filters>
        <filter val="Credit"/>
        <filter val="Goldman"/>
        <filter val="JP Morgan"/>
        <filter val="Merrill"/>
        <filter val="Morgan"/>
        <filter val="Tullett"/>
        <filter val="UBS"/>
      </filters>
    </filterColumn>
  </autoFilter>
  <pageMargins left="0.511811024" right="0.511811024" top="0.78740157499999996" bottom="0.78740157499999996" header="0.31496062000000002" footer="0.3149606200000000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4D803-3450-442E-BEE6-CE32C5A94955}">
  <sheetPr codeName="Planilha55" filterMode="1"/>
  <dimension ref="A1:C45"/>
  <sheetViews>
    <sheetView workbookViewId="0">
      <selection activeCell="S54" sqref="S54"/>
    </sheetView>
  </sheetViews>
  <sheetFormatPr defaultRowHeight="15" x14ac:dyDescent="0.25"/>
  <cols>
    <col min="1" max="1" width="16.28515625" bestFit="1" customWidth="1"/>
  </cols>
  <sheetData>
    <row r="1" spans="1:3" x14ac:dyDescent="0.25">
      <c r="A1" t="s">
        <v>49</v>
      </c>
    </row>
    <row r="2" spans="1:3" x14ac:dyDescent="0.25">
      <c r="A2">
        <f>_xlfn.AGGREGATE(9,5,A4:B70)</f>
        <v>-50854</v>
      </c>
    </row>
    <row r="3" spans="1:3" x14ac:dyDescent="0.25">
      <c r="A3" t="s">
        <v>3</v>
      </c>
      <c r="B3" t="s">
        <v>4</v>
      </c>
      <c r="C3" t="s">
        <v>5</v>
      </c>
    </row>
    <row r="4" spans="1:3" hidden="1" x14ac:dyDescent="0.25">
      <c r="A4" t="s">
        <v>39</v>
      </c>
      <c r="B4">
        <v>35062</v>
      </c>
      <c r="C4">
        <v>116786</v>
      </c>
    </row>
    <row r="5" spans="1:3" x14ac:dyDescent="0.25">
      <c r="A5" t="s">
        <v>8</v>
      </c>
      <c r="B5">
        <v>1445</v>
      </c>
      <c r="C5">
        <v>114578</v>
      </c>
    </row>
    <row r="6" spans="1:3" hidden="1" x14ac:dyDescent="0.25">
      <c r="A6" t="s">
        <v>41</v>
      </c>
      <c r="B6">
        <v>1298</v>
      </c>
      <c r="C6">
        <v>11702</v>
      </c>
    </row>
    <row r="7" spans="1:3" hidden="1" x14ac:dyDescent="0.25">
      <c r="A7" t="s">
        <v>40</v>
      </c>
      <c r="B7">
        <v>9725</v>
      </c>
      <c r="C7">
        <v>117308</v>
      </c>
    </row>
    <row r="8" spans="1:3" x14ac:dyDescent="0.25">
      <c r="A8" t="s">
        <v>7</v>
      </c>
      <c r="B8">
        <v>8682</v>
      </c>
      <c r="C8">
        <v>113132</v>
      </c>
    </row>
    <row r="9" spans="1:3" hidden="1" x14ac:dyDescent="0.25">
      <c r="A9" t="s">
        <v>23</v>
      </c>
      <c r="B9">
        <v>7</v>
      </c>
      <c r="C9">
        <v>115508</v>
      </c>
    </row>
    <row r="10" spans="1:3" hidden="1" x14ac:dyDescent="0.25">
      <c r="A10" t="s">
        <v>37</v>
      </c>
      <c r="B10">
        <v>6361</v>
      </c>
      <c r="C10">
        <v>115409</v>
      </c>
    </row>
    <row r="11" spans="1:3" hidden="1" x14ac:dyDescent="0.25">
      <c r="A11" t="s">
        <v>25</v>
      </c>
      <c r="B11">
        <v>3912</v>
      </c>
      <c r="C11">
        <v>113159</v>
      </c>
    </row>
    <row r="12" spans="1:3" hidden="1" x14ac:dyDescent="0.25">
      <c r="A12" t="s">
        <v>46</v>
      </c>
      <c r="B12">
        <v>2361</v>
      </c>
      <c r="C12">
        <v>117008</v>
      </c>
    </row>
    <row r="13" spans="1:3" hidden="1" x14ac:dyDescent="0.25">
      <c r="A13" t="s">
        <v>20</v>
      </c>
      <c r="B13">
        <v>1831</v>
      </c>
      <c r="C13">
        <v>11383</v>
      </c>
    </row>
    <row r="14" spans="1:3" hidden="1" x14ac:dyDescent="0.25">
      <c r="A14" t="s">
        <v>14</v>
      </c>
      <c r="B14">
        <v>153</v>
      </c>
      <c r="C14">
        <v>113171</v>
      </c>
    </row>
    <row r="15" spans="1:3" x14ac:dyDescent="0.25">
      <c r="A15" t="s">
        <v>17</v>
      </c>
      <c r="B15">
        <v>1352</v>
      </c>
      <c r="C15">
        <v>113751</v>
      </c>
    </row>
    <row r="16" spans="1:3" hidden="1" x14ac:dyDescent="0.25">
      <c r="A16" t="s">
        <v>34</v>
      </c>
      <c r="B16">
        <v>1179</v>
      </c>
      <c r="C16">
        <v>116369</v>
      </c>
    </row>
    <row r="17" spans="1:3" hidden="1" x14ac:dyDescent="0.25">
      <c r="A17" t="s">
        <v>29</v>
      </c>
      <c r="B17">
        <v>883</v>
      </c>
      <c r="C17">
        <v>114849</v>
      </c>
    </row>
    <row r="18" spans="1:3" hidden="1" x14ac:dyDescent="0.25">
      <c r="A18" t="s">
        <v>38</v>
      </c>
      <c r="B18">
        <v>833</v>
      </c>
      <c r="C18">
        <v>123857</v>
      </c>
    </row>
    <row r="19" spans="1:3" hidden="1" x14ac:dyDescent="0.25">
      <c r="A19" t="s">
        <v>11</v>
      </c>
      <c r="B19">
        <v>644</v>
      </c>
      <c r="C19">
        <v>110521</v>
      </c>
    </row>
    <row r="20" spans="1:3" hidden="1" x14ac:dyDescent="0.25">
      <c r="A20" t="s">
        <v>19</v>
      </c>
      <c r="B20">
        <v>521</v>
      </c>
      <c r="C20">
        <v>116568</v>
      </c>
    </row>
    <row r="21" spans="1:3" hidden="1" x14ac:dyDescent="0.25">
      <c r="A21" t="s">
        <v>12</v>
      </c>
      <c r="B21">
        <v>305</v>
      </c>
      <c r="C21">
        <v>109502</v>
      </c>
    </row>
    <row r="22" spans="1:3" hidden="1" x14ac:dyDescent="0.25">
      <c r="A22" t="s">
        <v>10</v>
      </c>
      <c r="B22">
        <v>131</v>
      </c>
      <c r="C22">
        <v>125702</v>
      </c>
    </row>
    <row r="23" spans="1:3" hidden="1" x14ac:dyDescent="0.25">
      <c r="A23" t="s">
        <v>27</v>
      </c>
      <c r="B23">
        <v>4</v>
      </c>
      <c r="C23">
        <v>167435</v>
      </c>
    </row>
    <row r="24" spans="1:3" hidden="1" x14ac:dyDescent="0.25">
      <c r="A24" t="s">
        <v>47</v>
      </c>
      <c r="B24">
        <v>-1</v>
      </c>
      <c r="C24">
        <v>11556</v>
      </c>
    </row>
    <row r="25" spans="1:3" hidden="1" x14ac:dyDescent="0.25">
      <c r="A25" t="s">
        <v>22</v>
      </c>
      <c r="B25">
        <v>-6</v>
      </c>
      <c r="C25">
        <v>12285</v>
      </c>
    </row>
    <row r="26" spans="1:3" hidden="1" x14ac:dyDescent="0.25">
      <c r="A26" t="s">
        <v>32</v>
      </c>
      <c r="B26">
        <v>-82</v>
      </c>
      <c r="C26">
        <v>11564</v>
      </c>
    </row>
    <row r="27" spans="1:3" hidden="1" x14ac:dyDescent="0.25">
      <c r="A27" t="s">
        <v>26</v>
      </c>
      <c r="B27">
        <v>-151</v>
      </c>
      <c r="C27">
        <v>116383</v>
      </c>
    </row>
    <row r="28" spans="1:3" hidden="1" x14ac:dyDescent="0.25">
      <c r="A28" t="s">
        <v>31</v>
      </c>
      <c r="B28">
        <v>-160</v>
      </c>
      <c r="C28">
        <v>93786</v>
      </c>
    </row>
    <row r="29" spans="1:3" hidden="1" x14ac:dyDescent="0.25">
      <c r="A29" t="s">
        <v>30</v>
      </c>
      <c r="B29">
        <v>-260</v>
      </c>
      <c r="C29">
        <v>116456</v>
      </c>
    </row>
    <row r="30" spans="1:3" hidden="1" x14ac:dyDescent="0.25">
      <c r="A30" t="s">
        <v>45</v>
      </c>
      <c r="B30">
        <v>-313</v>
      </c>
      <c r="C30">
        <v>114095</v>
      </c>
    </row>
    <row r="31" spans="1:3" hidden="1" x14ac:dyDescent="0.25">
      <c r="A31" t="s">
        <v>36</v>
      </c>
      <c r="B31">
        <v>-439</v>
      </c>
      <c r="C31">
        <v>100544</v>
      </c>
    </row>
    <row r="32" spans="1:3" hidden="1" x14ac:dyDescent="0.25">
      <c r="A32" t="s">
        <v>21</v>
      </c>
      <c r="B32">
        <v>-498</v>
      </c>
      <c r="C32">
        <v>116001</v>
      </c>
    </row>
    <row r="33" spans="1:3" hidden="1" x14ac:dyDescent="0.25">
      <c r="A33" t="s">
        <v>24</v>
      </c>
      <c r="B33">
        <v>-1527</v>
      </c>
      <c r="C33">
        <v>117951</v>
      </c>
    </row>
    <row r="34" spans="1:3" hidden="1" x14ac:dyDescent="0.25">
      <c r="A34" t="s">
        <v>18</v>
      </c>
      <c r="B34">
        <v>-1847</v>
      </c>
      <c r="C34">
        <v>115519</v>
      </c>
    </row>
    <row r="35" spans="1:3" hidden="1" x14ac:dyDescent="0.25">
      <c r="A35" t="s">
        <v>15</v>
      </c>
      <c r="B35">
        <v>-2112</v>
      </c>
      <c r="C35">
        <v>118432</v>
      </c>
    </row>
    <row r="36" spans="1:3" x14ac:dyDescent="0.25">
      <c r="A36" t="s">
        <v>42</v>
      </c>
      <c r="B36">
        <v>-2666</v>
      </c>
      <c r="C36">
        <v>113413</v>
      </c>
    </row>
    <row r="37" spans="1:3" hidden="1" x14ac:dyDescent="0.25">
      <c r="A37" t="s">
        <v>16</v>
      </c>
      <c r="B37">
        <v>-3292</v>
      </c>
      <c r="C37">
        <v>11499</v>
      </c>
    </row>
    <row r="38" spans="1:3" hidden="1" x14ac:dyDescent="0.25">
      <c r="A38" t="s">
        <v>13</v>
      </c>
      <c r="B38">
        <v>-3348</v>
      </c>
      <c r="C38">
        <v>115095</v>
      </c>
    </row>
    <row r="39" spans="1:3" hidden="1" x14ac:dyDescent="0.25">
      <c r="A39" t="s">
        <v>43</v>
      </c>
      <c r="B39">
        <v>-3912</v>
      </c>
      <c r="C39">
        <v>11143</v>
      </c>
    </row>
    <row r="40" spans="1:3" hidden="1" x14ac:dyDescent="0.25">
      <c r="A40" t="s">
        <v>35</v>
      </c>
      <c r="B40">
        <v>-7821</v>
      </c>
      <c r="C40">
        <v>116194</v>
      </c>
    </row>
    <row r="41" spans="1:3" hidden="1" x14ac:dyDescent="0.25">
      <c r="A41" t="s">
        <v>9</v>
      </c>
      <c r="B41">
        <v>-7929</v>
      </c>
      <c r="C41">
        <v>119498</v>
      </c>
    </row>
    <row r="42" spans="1:3" hidden="1" x14ac:dyDescent="0.25">
      <c r="A42" t="s">
        <v>6</v>
      </c>
      <c r="B42">
        <v>-13715</v>
      </c>
      <c r="C42">
        <v>115541</v>
      </c>
    </row>
    <row r="43" spans="1:3" x14ac:dyDescent="0.25">
      <c r="A43" t="s">
        <v>28</v>
      </c>
      <c r="B43">
        <v>-15864</v>
      </c>
      <c r="C43">
        <v>117366</v>
      </c>
    </row>
    <row r="44" spans="1:3" x14ac:dyDescent="0.25">
      <c r="A44" t="s">
        <v>44</v>
      </c>
      <c r="B44">
        <v>-20972</v>
      </c>
      <c r="C44">
        <v>11704</v>
      </c>
    </row>
    <row r="45" spans="1:3" x14ac:dyDescent="0.25">
      <c r="A45" t="s">
        <v>33</v>
      </c>
      <c r="B45">
        <v>-22831</v>
      </c>
      <c r="C45">
        <v>113864</v>
      </c>
    </row>
  </sheetData>
  <autoFilter ref="A3:C45" xr:uid="{9C24D803-3450-442E-BEE6-CE32C5A94955}">
    <filterColumn colId="0">
      <filters>
        <filter val="Credit"/>
        <filter val="Goldman"/>
        <filter val="JP Morgan"/>
        <filter val="Merrill"/>
        <filter val="Morgan"/>
        <filter val="Tullett"/>
        <filter val="UBS"/>
      </filters>
    </filterColumn>
  </autoFilter>
  <pageMargins left="0.511811024" right="0.511811024" top="0.78740157499999996" bottom="0.78740157499999996" header="0.31496062000000002" footer="0.3149606200000000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1B91F-6E23-4EBF-B22D-A0AB8FFFD35A}">
  <sheetPr codeName="Planilha56" filterMode="1"/>
  <dimension ref="A1:F62"/>
  <sheetViews>
    <sheetView workbookViewId="0">
      <selection activeCell="J48" sqref="J48"/>
    </sheetView>
  </sheetViews>
  <sheetFormatPr defaultRowHeight="15" x14ac:dyDescent="0.25"/>
  <cols>
    <col min="1" max="1" width="19.140625" bestFit="1" customWidth="1"/>
    <col min="2" max="2" width="11.85546875" bestFit="1" customWidth="1"/>
    <col min="3" max="3" width="22.5703125" bestFit="1" customWidth="1"/>
    <col min="4" max="4" width="20" bestFit="1" customWidth="1"/>
    <col min="5" max="5" width="8.5703125" bestFit="1" customWidth="1"/>
    <col min="6" max="6" width="30.28515625" bestFit="1" customWidth="1"/>
  </cols>
  <sheetData>
    <row r="1" spans="1:3" x14ac:dyDescent="0.25">
      <c r="A1" t="s">
        <v>49</v>
      </c>
    </row>
    <row r="2" spans="1:3" x14ac:dyDescent="0.25">
      <c r="A2">
        <f>_xlfn.AGGREGATE(9,5,A4:B70)</f>
        <v>51597</v>
      </c>
    </row>
    <row r="3" spans="1:3" x14ac:dyDescent="0.25">
      <c r="A3" t="s">
        <v>3</v>
      </c>
      <c r="B3" t="s">
        <v>4</v>
      </c>
      <c r="C3" t="s">
        <v>5</v>
      </c>
    </row>
    <row r="4" spans="1:3" x14ac:dyDescent="0.25">
      <c r="A4" t="s">
        <v>44</v>
      </c>
      <c r="B4" s="1">
        <v>65625</v>
      </c>
      <c r="C4" s="1">
        <v>118580</v>
      </c>
    </row>
    <row r="5" spans="1:3" x14ac:dyDescent="0.25">
      <c r="A5" t="s">
        <v>42</v>
      </c>
      <c r="B5" s="1">
        <v>22661</v>
      </c>
      <c r="C5" s="1">
        <v>118154</v>
      </c>
    </row>
    <row r="6" spans="1:3" hidden="1" x14ac:dyDescent="0.25">
      <c r="A6" t="s">
        <v>6</v>
      </c>
      <c r="B6" s="1">
        <v>12053</v>
      </c>
      <c r="C6" s="1">
        <v>117043</v>
      </c>
    </row>
    <row r="7" spans="1:3" x14ac:dyDescent="0.25">
      <c r="A7" t="s">
        <v>33</v>
      </c>
      <c r="B7" s="1">
        <v>6636</v>
      </c>
      <c r="C7" s="1">
        <v>119058</v>
      </c>
    </row>
    <row r="8" spans="1:3" hidden="1" x14ac:dyDescent="0.25">
      <c r="A8" t="s">
        <v>10</v>
      </c>
      <c r="B8" s="1">
        <v>5325</v>
      </c>
      <c r="C8" s="1">
        <v>117884</v>
      </c>
    </row>
    <row r="9" spans="1:3" hidden="1" x14ac:dyDescent="0.25">
      <c r="A9" t="s">
        <v>37</v>
      </c>
      <c r="B9" s="1">
        <v>4681</v>
      </c>
      <c r="C9" s="1">
        <v>115290</v>
      </c>
    </row>
    <row r="10" spans="1:3" hidden="1" x14ac:dyDescent="0.25">
      <c r="A10" t="s">
        <v>25</v>
      </c>
      <c r="B10" s="1">
        <v>4075</v>
      </c>
      <c r="C10" s="1">
        <v>118704</v>
      </c>
    </row>
    <row r="11" spans="1:3" hidden="1" x14ac:dyDescent="0.25">
      <c r="A11" t="s">
        <v>16</v>
      </c>
      <c r="B11" s="1">
        <v>3837</v>
      </c>
      <c r="C11" s="1">
        <v>119949</v>
      </c>
    </row>
    <row r="12" spans="1:3" hidden="1" x14ac:dyDescent="0.25">
      <c r="A12" t="s">
        <v>18</v>
      </c>
      <c r="B12" s="1">
        <v>3691</v>
      </c>
      <c r="C12" s="1">
        <v>118829</v>
      </c>
    </row>
    <row r="13" spans="1:3" hidden="1" x14ac:dyDescent="0.25">
      <c r="A13" t="s">
        <v>34</v>
      </c>
      <c r="B13" s="1">
        <v>2499</v>
      </c>
      <c r="C13" s="1">
        <v>118219</v>
      </c>
    </row>
    <row r="14" spans="1:3" hidden="1" x14ac:dyDescent="0.25">
      <c r="A14" t="s">
        <v>12</v>
      </c>
      <c r="B14" s="1">
        <v>2150</v>
      </c>
      <c r="C14" s="1">
        <v>118708</v>
      </c>
    </row>
    <row r="15" spans="1:3" hidden="1" x14ac:dyDescent="0.25">
      <c r="A15" t="s">
        <v>11</v>
      </c>
      <c r="B15" s="1">
        <v>1495</v>
      </c>
      <c r="C15" s="1">
        <v>119242</v>
      </c>
    </row>
    <row r="16" spans="1:3" hidden="1" x14ac:dyDescent="0.25">
      <c r="A16" t="s">
        <v>31</v>
      </c>
      <c r="B16" s="1">
        <v>1083</v>
      </c>
      <c r="C16" s="1">
        <v>117207</v>
      </c>
    </row>
    <row r="17" spans="1:3" hidden="1" x14ac:dyDescent="0.25">
      <c r="A17" t="s">
        <v>45</v>
      </c>
      <c r="B17">
        <v>821</v>
      </c>
      <c r="C17" s="1">
        <v>118150</v>
      </c>
    </row>
    <row r="18" spans="1:3" hidden="1" x14ac:dyDescent="0.25">
      <c r="A18" t="s">
        <v>21</v>
      </c>
      <c r="B18">
        <v>784</v>
      </c>
      <c r="C18" s="1">
        <v>117567</v>
      </c>
    </row>
    <row r="19" spans="1:3" hidden="1" x14ac:dyDescent="0.25">
      <c r="A19" t="s">
        <v>30</v>
      </c>
      <c r="B19">
        <v>69</v>
      </c>
      <c r="C19" s="1">
        <v>116319</v>
      </c>
    </row>
    <row r="20" spans="1:3" hidden="1" x14ac:dyDescent="0.25">
      <c r="A20" t="s">
        <v>22</v>
      </c>
      <c r="B20">
        <v>56</v>
      </c>
      <c r="C20" s="1">
        <v>117591</v>
      </c>
    </row>
    <row r="21" spans="1:3" hidden="1" x14ac:dyDescent="0.25">
      <c r="A21" t="s">
        <v>24</v>
      </c>
      <c r="B21">
        <v>22</v>
      </c>
      <c r="C21" s="1">
        <v>117322</v>
      </c>
    </row>
    <row r="22" spans="1:3" hidden="1" x14ac:dyDescent="0.25">
      <c r="A22" t="s">
        <v>27</v>
      </c>
      <c r="B22">
        <v>6</v>
      </c>
      <c r="C22" s="1">
        <v>132239</v>
      </c>
    </row>
    <row r="23" spans="1:3" hidden="1" x14ac:dyDescent="0.25">
      <c r="A23" t="s">
        <v>23</v>
      </c>
      <c r="B23">
        <v>2</v>
      </c>
      <c r="C23" s="1">
        <v>3081393</v>
      </c>
    </row>
    <row r="24" spans="1:3" hidden="1" x14ac:dyDescent="0.25">
      <c r="A24" t="s">
        <v>26</v>
      </c>
      <c r="B24">
        <v>-62</v>
      </c>
      <c r="C24" s="1">
        <v>120888</v>
      </c>
    </row>
    <row r="25" spans="1:3" hidden="1" x14ac:dyDescent="0.25">
      <c r="A25" t="s">
        <v>32</v>
      </c>
      <c r="B25">
        <v>-89</v>
      </c>
      <c r="C25" s="1">
        <v>117634</v>
      </c>
    </row>
    <row r="26" spans="1:3" hidden="1" x14ac:dyDescent="0.25">
      <c r="A26" t="s">
        <v>41</v>
      </c>
      <c r="B26">
        <v>-388</v>
      </c>
      <c r="C26" s="1">
        <v>155084</v>
      </c>
    </row>
    <row r="27" spans="1:3" hidden="1" x14ac:dyDescent="0.25">
      <c r="A27" t="s">
        <v>36</v>
      </c>
      <c r="B27">
        <v>-407</v>
      </c>
      <c r="C27" s="1">
        <v>115834</v>
      </c>
    </row>
    <row r="28" spans="1:3" x14ac:dyDescent="0.25">
      <c r="A28" t="s">
        <v>17</v>
      </c>
      <c r="B28">
        <v>-969</v>
      </c>
      <c r="C28" s="1">
        <v>115563</v>
      </c>
    </row>
    <row r="29" spans="1:3" hidden="1" x14ac:dyDescent="0.25">
      <c r="A29" t="s">
        <v>19</v>
      </c>
      <c r="B29" s="1">
        <v>-1232</v>
      </c>
      <c r="C29" s="1">
        <v>117870</v>
      </c>
    </row>
    <row r="30" spans="1:3" hidden="1" x14ac:dyDescent="0.25">
      <c r="A30" t="s">
        <v>46</v>
      </c>
      <c r="B30" s="1">
        <v>-1433</v>
      </c>
      <c r="C30" s="1">
        <v>117177</v>
      </c>
    </row>
    <row r="31" spans="1:3" hidden="1" x14ac:dyDescent="0.25">
      <c r="A31" t="s">
        <v>38</v>
      </c>
      <c r="B31" s="1">
        <v>-1611</v>
      </c>
      <c r="C31" s="1">
        <v>116940</v>
      </c>
    </row>
    <row r="32" spans="1:3" hidden="1" x14ac:dyDescent="0.25">
      <c r="A32" t="s">
        <v>35</v>
      </c>
      <c r="B32" s="1">
        <v>-1706</v>
      </c>
      <c r="C32" s="1">
        <v>114107</v>
      </c>
    </row>
    <row r="33" spans="1:3" hidden="1" x14ac:dyDescent="0.25">
      <c r="A33" t="s">
        <v>20</v>
      </c>
      <c r="B33" s="1">
        <v>-1841</v>
      </c>
      <c r="C33" s="1">
        <v>114566</v>
      </c>
    </row>
    <row r="34" spans="1:3" hidden="1" x14ac:dyDescent="0.25">
      <c r="A34" t="s">
        <v>15</v>
      </c>
      <c r="B34" s="1">
        <v>-2251</v>
      </c>
      <c r="C34" s="1">
        <v>117619</v>
      </c>
    </row>
    <row r="35" spans="1:3" hidden="1" x14ac:dyDescent="0.25">
      <c r="A35" t="s">
        <v>29</v>
      </c>
      <c r="B35" s="1">
        <v>-2856</v>
      </c>
      <c r="C35" s="1">
        <v>116246</v>
      </c>
    </row>
    <row r="36" spans="1:3" x14ac:dyDescent="0.25">
      <c r="A36" t="s">
        <v>7</v>
      </c>
      <c r="B36" s="1">
        <v>-2993</v>
      </c>
      <c r="C36" s="1">
        <v>124902</v>
      </c>
    </row>
    <row r="37" spans="1:3" hidden="1" x14ac:dyDescent="0.25">
      <c r="A37" t="s">
        <v>14</v>
      </c>
      <c r="B37" s="1">
        <v>-3842</v>
      </c>
      <c r="C37" s="1">
        <v>118428</v>
      </c>
    </row>
    <row r="38" spans="1:3" hidden="1" x14ac:dyDescent="0.25">
      <c r="A38" t="s">
        <v>9</v>
      </c>
      <c r="B38" s="1">
        <v>-5100</v>
      </c>
      <c r="C38" s="1">
        <v>122644</v>
      </c>
    </row>
    <row r="39" spans="1:3" x14ac:dyDescent="0.25">
      <c r="A39" t="s">
        <v>28</v>
      </c>
      <c r="B39" s="1">
        <v>-8231</v>
      </c>
      <c r="C39" s="1">
        <v>116675</v>
      </c>
    </row>
    <row r="40" spans="1:3" hidden="1" x14ac:dyDescent="0.25">
      <c r="A40" t="s">
        <v>39</v>
      </c>
      <c r="B40" s="1">
        <v>-9761</v>
      </c>
      <c r="C40" s="1">
        <v>117188</v>
      </c>
    </row>
    <row r="41" spans="1:3" hidden="1" x14ac:dyDescent="0.25">
      <c r="A41" t="s">
        <v>13</v>
      </c>
      <c r="B41" s="1">
        <v>-12466</v>
      </c>
      <c r="C41" s="1">
        <v>118193</v>
      </c>
    </row>
    <row r="42" spans="1:3" hidden="1" x14ac:dyDescent="0.25">
      <c r="A42" t="s">
        <v>43</v>
      </c>
      <c r="B42" s="1">
        <v>-14633</v>
      </c>
      <c r="C42" s="1">
        <v>118205</v>
      </c>
    </row>
    <row r="43" spans="1:3" x14ac:dyDescent="0.25">
      <c r="A43" t="s">
        <v>8</v>
      </c>
      <c r="B43" s="1">
        <v>-31132</v>
      </c>
      <c r="C43" s="1">
        <v>118511</v>
      </c>
    </row>
    <row r="44" spans="1:3" hidden="1" x14ac:dyDescent="0.25">
      <c r="A44" t="s">
        <v>40</v>
      </c>
      <c r="B44" s="1">
        <v>-34568</v>
      </c>
      <c r="C44" s="1">
        <v>118232</v>
      </c>
    </row>
    <row r="50" spans="1:6" x14ac:dyDescent="0.25">
      <c r="A50" s="7" t="s">
        <v>50</v>
      </c>
      <c r="B50" s="8" t="s">
        <v>51</v>
      </c>
      <c r="C50" s="8" t="s">
        <v>52</v>
      </c>
      <c r="D50" s="8" t="s">
        <v>53</v>
      </c>
      <c r="E50" s="8" t="s">
        <v>54</v>
      </c>
      <c r="F50" s="9" t="s">
        <v>55</v>
      </c>
    </row>
    <row r="51" spans="1:6" x14ac:dyDescent="0.25">
      <c r="A51" s="14" t="s">
        <v>171</v>
      </c>
      <c r="B51" s="15" t="s">
        <v>58</v>
      </c>
      <c r="C51" s="11">
        <v>117156</v>
      </c>
      <c r="D51" s="11">
        <v>117958</v>
      </c>
      <c r="E51" s="11">
        <v>802</v>
      </c>
      <c r="F51" s="12">
        <v>160.4</v>
      </c>
    </row>
    <row r="52" spans="1:6" x14ac:dyDescent="0.25">
      <c r="A52" s="16" t="s">
        <v>171</v>
      </c>
      <c r="B52" s="17" t="s">
        <v>60</v>
      </c>
      <c r="C52" s="10">
        <v>118470</v>
      </c>
      <c r="D52" s="10">
        <v>119278</v>
      </c>
      <c r="E52" s="10">
        <v>808</v>
      </c>
      <c r="F52" s="13">
        <v>161.6</v>
      </c>
    </row>
    <row r="53" spans="1:6" x14ac:dyDescent="0.25">
      <c r="A53" s="14" t="s">
        <v>171</v>
      </c>
      <c r="B53" s="15" t="s">
        <v>68</v>
      </c>
      <c r="C53" s="11">
        <v>120092</v>
      </c>
      <c r="D53" s="11">
        <v>120908</v>
      </c>
      <c r="E53" s="11">
        <v>816</v>
      </c>
      <c r="F53" s="12">
        <v>163.19999999999999</v>
      </c>
    </row>
    <row r="54" spans="1:6" x14ac:dyDescent="0.25">
      <c r="A54" s="16" t="s">
        <v>171</v>
      </c>
      <c r="B54" s="17" t="s">
        <v>70</v>
      </c>
      <c r="C54" s="10">
        <v>121524</v>
      </c>
      <c r="D54" s="10">
        <v>122374</v>
      </c>
      <c r="E54" s="10">
        <v>850</v>
      </c>
      <c r="F54" s="13">
        <v>170</v>
      </c>
    </row>
    <row r="55" spans="1:6" x14ac:dyDescent="0.25">
      <c r="A55" s="14" t="s">
        <v>171</v>
      </c>
      <c r="B55" s="15" t="s">
        <v>103</v>
      </c>
      <c r="C55" s="11">
        <v>123231</v>
      </c>
      <c r="D55" s="11">
        <v>124109</v>
      </c>
      <c r="E55" s="11">
        <v>878</v>
      </c>
      <c r="F55" s="12">
        <v>175.6</v>
      </c>
    </row>
    <row r="56" spans="1:6" x14ac:dyDescent="0.25">
      <c r="A56" s="16" t="s">
        <v>171</v>
      </c>
      <c r="B56" s="17" t="s">
        <v>89</v>
      </c>
      <c r="C56" s="10">
        <v>125048</v>
      </c>
      <c r="D56" s="10">
        <v>125925</v>
      </c>
      <c r="E56" s="10">
        <v>877</v>
      </c>
      <c r="F56" s="13">
        <v>175.4</v>
      </c>
    </row>
    <row r="57" spans="1:6" x14ac:dyDescent="0.25">
      <c r="A57" s="14" t="s">
        <v>171</v>
      </c>
      <c r="B57" s="15" t="s">
        <v>72</v>
      </c>
      <c r="C57" s="11">
        <v>126669</v>
      </c>
      <c r="D57" s="11">
        <v>127569</v>
      </c>
      <c r="E57" s="11">
        <v>900</v>
      </c>
      <c r="F57" s="12">
        <v>180</v>
      </c>
    </row>
    <row r="58" spans="1:6" x14ac:dyDescent="0.25">
      <c r="A58" s="16" t="s">
        <v>171</v>
      </c>
      <c r="B58" s="17" t="s">
        <v>139</v>
      </c>
      <c r="C58" s="10">
        <v>128509</v>
      </c>
      <c r="D58" s="10">
        <v>129383</v>
      </c>
      <c r="E58" s="10">
        <v>874</v>
      </c>
      <c r="F58" s="13">
        <v>174.8</v>
      </c>
    </row>
    <row r="59" spans="1:6" x14ac:dyDescent="0.25">
      <c r="A59" s="14" t="s">
        <v>171</v>
      </c>
      <c r="B59" s="15" t="s">
        <v>142</v>
      </c>
      <c r="C59" s="11">
        <v>130596</v>
      </c>
      <c r="D59" s="11">
        <v>131473</v>
      </c>
      <c r="E59" s="11">
        <v>877</v>
      </c>
      <c r="F59" s="12">
        <v>175.4</v>
      </c>
    </row>
    <row r="60" spans="1:6" x14ac:dyDescent="0.25">
      <c r="A60" s="16" t="s">
        <v>171</v>
      </c>
      <c r="B60" s="17" t="s">
        <v>104</v>
      </c>
      <c r="C60" s="10">
        <v>132385</v>
      </c>
      <c r="D60" s="10">
        <v>133267</v>
      </c>
      <c r="E60" s="10">
        <v>882</v>
      </c>
      <c r="F60" s="13">
        <v>176.4</v>
      </c>
    </row>
    <row r="61" spans="1:6" x14ac:dyDescent="0.25">
      <c r="A61" s="14" t="s">
        <v>171</v>
      </c>
      <c r="B61" s="15" t="s">
        <v>143</v>
      </c>
      <c r="C61" s="11">
        <v>134540</v>
      </c>
      <c r="D61" s="11">
        <v>135404</v>
      </c>
      <c r="E61" s="11">
        <v>864</v>
      </c>
      <c r="F61" s="12">
        <v>172.8</v>
      </c>
    </row>
    <row r="62" spans="1:6" x14ac:dyDescent="0.25">
      <c r="A62" s="16" t="s">
        <v>171</v>
      </c>
      <c r="B62" s="17" t="s">
        <v>144</v>
      </c>
      <c r="C62" s="10">
        <v>136900</v>
      </c>
      <c r="D62" s="10">
        <v>137745</v>
      </c>
      <c r="E62" s="10">
        <v>845</v>
      </c>
      <c r="F62" s="13">
        <v>169</v>
      </c>
    </row>
  </sheetData>
  <autoFilter ref="A3:C44" xr:uid="{EB827314-48C7-4823-8F13-702C376326A3}">
    <filterColumn colId="0">
      <filters>
        <filter val="Credit"/>
        <filter val="Goldman"/>
        <filter val="JP Morgan"/>
        <filter val="Merrill"/>
        <filter val="Morgan"/>
        <filter val="Tullett"/>
        <filter val="UBS"/>
      </filters>
    </filterColumn>
  </autoFilter>
  <pageMargins left="0.511811024" right="0.511811024" top="0.78740157499999996" bottom="0.78740157499999996" header="0.31496062000000002" footer="0.3149606200000000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27314-48C7-4823-8F13-702C376326A3}">
  <sheetPr codeName="Planilha57" filterMode="1"/>
  <dimension ref="A1:C41"/>
  <sheetViews>
    <sheetView workbookViewId="0">
      <selection activeCell="E42" sqref="E42"/>
    </sheetView>
  </sheetViews>
  <sheetFormatPr defaultRowHeight="15" x14ac:dyDescent="0.25"/>
  <sheetData>
    <row r="1" spans="1:3" x14ac:dyDescent="0.25">
      <c r="A1" t="s">
        <v>49</v>
      </c>
    </row>
    <row r="2" spans="1:3" x14ac:dyDescent="0.25">
      <c r="A2">
        <f>_xlfn.AGGREGATE(9,5,A4:B70)</f>
        <v>5139</v>
      </c>
    </row>
    <row r="3" spans="1:3" x14ac:dyDescent="0.25">
      <c r="A3" t="s">
        <v>3</v>
      </c>
      <c r="B3" t="s">
        <v>4</v>
      </c>
      <c r="C3" t="s">
        <v>5</v>
      </c>
    </row>
    <row r="4" spans="1:3" x14ac:dyDescent="0.25">
      <c r="A4" t="s">
        <v>8</v>
      </c>
      <c r="B4" s="1">
        <v>8006</v>
      </c>
      <c r="C4" s="1">
        <v>118848</v>
      </c>
    </row>
    <row r="5" spans="1:3" hidden="1" x14ac:dyDescent="0.25">
      <c r="A5" t="s">
        <v>40</v>
      </c>
      <c r="B5" s="1">
        <v>4111</v>
      </c>
      <c r="C5" s="1">
        <v>118836</v>
      </c>
    </row>
    <row r="6" spans="1:3" x14ac:dyDescent="0.25">
      <c r="A6" t="s">
        <v>7</v>
      </c>
      <c r="B6" s="1">
        <v>3669</v>
      </c>
      <c r="C6" s="1">
        <v>118738</v>
      </c>
    </row>
    <row r="7" spans="1:3" hidden="1" x14ac:dyDescent="0.25">
      <c r="A7" t="s">
        <v>13</v>
      </c>
      <c r="B7" s="1">
        <v>3390</v>
      </c>
      <c r="C7" s="1">
        <v>118771</v>
      </c>
    </row>
    <row r="8" spans="1:3" hidden="1" x14ac:dyDescent="0.25">
      <c r="A8" t="s">
        <v>41</v>
      </c>
      <c r="B8" s="1">
        <v>2949</v>
      </c>
      <c r="C8" s="1">
        <v>118787</v>
      </c>
    </row>
    <row r="9" spans="1:3" hidden="1" x14ac:dyDescent="0.25">
      <c r="A9" t="s">
        <v>18</v>
      </c>
      <c r="B9" s="1">
        <v>2583</v>
      </c>
      <c r="C9" s="1">
        <v>118816</v>
      </c>
    </row>
    <row r="10" spans="1:3" hidden="1" x14ac:dyDescent="0.25">
      <c r="A10" t="s">
        <v>35</v>
      </c>
      <c r="B10" s="1">
        <v>1896</v>
      </c>
      <c r="C10" s="1">
        <v>118813</v>
      </c>
    </row>
    <row r="11" spans="1:3" hidden="1" x14ac:dyDescent="0.25">
      <c r="A11" t="s">
        <v>38</v>
      </c>
      <c r="B11" s="1">
        <v>1676</v>
      </c>
      <c r="C11" s="1">
        <v>118814</v>
      </c>
    </row>
    <row r="12" spans="1:3" hidden="1" x14ac:dyDescent="0.25">
      <c r="A12" t="s">
        <v>11</v>
      </c>
      <c r="B12" s="1">
        <v>1649</v>
      </c>
      <c r="C12" s="1">
        <v>118876</v>
      </c>
    </row>
    <row r="13" spans="1:3" hidden="1" x14ac:dyDescent="0.25">
      <c r="A13" t="s">
        <v>6</v>
      </c>
      <c r="B13" s="1">
        <v>1494</v>
      </c>
      <c r="C13" s="1">
        <v>118817</v>
      </c>
    </row>
    <row r="14" spans="1:3" hidden="1" x14ac:dyDescent="0.25">
      <c r="A14" t="s">
        <v>37</v>
      </c>
      <c r="B14">
        <v>874</v>
      </c>
      <c r="C14" s="1">
        <v>118810</v>
      </c>
    </row>
    <row r="15" spans="1:3" hidden="1" x14ac:dyDescent="0.25">
      <c r="A15" t="s">
        <v>34</v>
      </c>
      <c r="B15">
        <v>724</v>
      </c>
      <c r="C15" s="1">
        <v>118814</v>
      </c>
    </row>
    <row r="16" spans="1:3" hidden="1" x14ac:dyDescent="0.25">
      <c r="A16" t="s">
        <v>15</v>
      </c>
      <c r="B16">
        <v>618</v>
      </c>
      <c r="C16" s="1">
        <v>118838</v>
      </c>
    </row>
    <row r="17" spans="1:3" x14ac:dyDescent="0.25">
      <c r="A17" t="s">
        <v>33</v>
      </c>
      <c r="B17">
        <v>593</v>
      </c>
      <c r="C17" s="1">
        <v>118800</v>
      </c>
    </row>
    <row r="18" spans="1:3" hidden="1" x14ac:dyDescent="0.25">
      <c r="A18" t="s">
        <v>45</v>
      </c>
      <c r="B18">
        <v>300</v>
      </c>
      <c r="C18" s="1">
        <v>118792</v>
      </c>
    </row>
    <row r="19" spans="1:3" hidden="1" x14ac:dyDescent="0.25">
      <c r="A19" t="s">
        <v>46</v>
      </c>
      <c r="B19">
        <v>250</v>
      </c>
      <c r="C19" s="1">
        <v>118850</v>
      </c>
    </row>
    <row r="20" spans="1:3" x14ac:dyDescent="0.25">
      <c r="A20" t="s">
        <v>17</v>
      </c>
      <c r="B20">
        <v>237</v>
      </c>
      <c r="C20" s="1">
        <v>118784</v>
      </c>
    </row>
    <row r="21" spans="1:3" hidden="1" x14ac:dyDescent="0.25">
      <c r="A21" t="s">
        <v>10</v>
      </c>
      <c r="B21">
        <v>190</v>
      </c>
      <c r="C21" s="1">
        <v>118872</v>
      </c>
    </row>
    <row r="22" spans="1:3" hidden="1" x14ac:dyDescent="0.25">
      <c r="A22" t="s">
        <v>32</v>
      </c>
      <c r="B22">
        <v>90</v>
      </c>
      <c r="C22" s="1">
        <v>118943</v>
      </c>
    </row>
    <row r="23" spans="1:3" hidden="1" x14ac:dyDescent="0.25">
      <c r="A23" t="s">
        <v>26</v>
      </c>
      <c r="B23">
        <v>81</v>
      </c>
      <c r="C23" s="1">
        <v>118853</v>
      </c>
    </row>
    <row r="24" spans="1:3" hidden="1" x14ac:dyDescent="0.25">
      <c r="A24" t="s">
        <v>27</v>
      </c>
      <c r="B24">
        <v>26</v>
      </c>
      <c r="C24" s="1">
        <v>118810</v>
      </c>
    </row>
    <row r="25" spans="1:3" hidden="1" x14ac:dyDescent="0.25">
      <c r="A25" t="s">
        <v>23</v>
      </c>
      <c r="B25">
        <v>8</v>
      </c>
      <c r="C25" s="1">
        <v>118806</v>
      </c>
    </row>
    <row r="26" spans="1:3" hidden="1" x14ac:dyDescent="0.25">
      <c r="A26" t="s">
        <v>30</v>
      </c>
      <c r="B26">
        <v>-1</v>
      </c>
      <c r="C26" s="1">
        <v>118821</v>
      </c>
    </row>
    <row r="27" spans="1:3" hidden="1" x14ac:dyDescent="0.25">
      <c r="A27" t="s">
        <v>19</v>
      </c>
      <c r="B27">
        <v>-1</v>
      </c>
      <c r="C27" s="1">
        <v>118803</v>
      </c>
    </row>
    <row r="28" spans="1:3" hidden="1" x14ac:dyDescent="0.25">
      <c r="A28" t="s">
        <v>21</v>
      </c>
      <c r="B28">
        <v>-6</v>
      </c>
      <c r="C28" s="1">
        <v>118912</v>
      </c>
    </row>
    <row r="29" spans="1:3" hidden="1" x14ac:dyDescent="0.25">
      <c r="A29" t="s">
        <v>16</v>
      </c>
      <c r="B29">
        <v>-234</v>
      </c>
      <c r="C29" s="1">
        <v>118799</v>
      </c>
    </row>
    <row r="30" spans="1:3" hidden="1" x14ac:dyDescent="0.25">
      <c r="A30" t="s">
        <v>29</v>
      </c>
      <c r="B30">
        <v>-242</v>
      </c>
      <c r="C30" s="1">
        <v>118888</v>
      </c>
    </row>
    <row r="31" spans="1:3" hidden="1" x14ac:dyDescent="0.25">
      <c r="A31" t="s">
        <v>12</v>
      </c>
      <c r="B31">
        <v>-326</v>
      </c>
      <c r="C31" s="1">
        <v>118876</v>
      </c>
    </row>
    <row r="32" spans="1:3" hidden="1" x14ac:dyDescent="0.25">
      <c r="A32" t="s">
        <v>20</v>
      </c>
      <c r="B32">
        <v>-364</v>
      </c>
      <c r="C32" s="1">
        <v>118837</v>
      </c>
    </row>
    <row r="33" spans="1:3" hidden="1" x14ac:dyDescent="0.25">
      <c r="A33" t="s">
        <v>31</v>
      </c>
      <c r="B33">
        <v>-369</v>
      </c>
      <c r="C33" s="1">
        <v>118807</v>
      </c>
    </row>
    <row r="34" spans="1:3" hidden="1" x14ac:dyDescent="0.25">
      <c r="A34" t="s">
        <v>9</v>
      </c>
      <c r="B34">
        <v>-776</v>
      </c>
      <c r="C34" s="1">
        <v>118800</v>
      </c>
    </row>
    <row r="35" spans="1:3" hidden="1" x14ac:dyDescent="0.25">
      <c r="A35" t="s">
        <v>14</v>
      </c>
      <c r="B35" s="1">
        <v>-1100</v>
      </c>
      <c r="C35" s="1">
        <v>119024</v>
      </c>
    </row>
    <row r="36" spans="1:3" x14ac:dyDescent="0.25">
      <c r="A36" t="s">
        <v>44</v>
      </c>
      <c r="B36" s="1">
        <v>-1622</v>
      </c>
      <c r="C36" s="1">
        <v>118915</v>
      </c>
    </row>
    <row r="37" spans="1:3" x14ac:dyDescent="0.25">
      <c r="A37" t="s">
        <v>42</v>
      </c>
      <c r="B37" s="1">
        <v>-2500</v>
      </c>
      <c r="C37" s="1">
        <v>118728</v>
      </c>
    </row>
    <row r="38" spans="1:3" hidden="1" x14ac:dyDescent="0.25">
      <c r="A38" t="s">
        <v>36</v>
      </c>
      <c r="B38" s="1">
        <v>-2571</v>
      </c>
      <c r="C38" s="1">
        <v>118838</v>
      </c>
    </row>
    <row r="39" spans="1:3" x14ac:dyDescent="0.25">
      <c r="A39" t="s">
        <v>28</v>
      </c>
      <c r="B39" s="1">
        <v>-3244</v>
      </c>
      <c r="C39" s="1">
        <v>118815</v>
      </c>
    </row>
    <row r="40" spans="1:3" hidden="1" x14ac:dyDescent="0.25">
      <c r="A40" t="s">
        <v>39</v>
      </c>
      <c r="B40" s="1">
        <v>-8369</v>
      </c>
      <c r="C40" s="1">
        <v>118824</v>
      </c>
    </row>
    <row r="41" spans="1:3" hidden="1" x14ac:dyDescent="0.25">
      <c r="A41" t="s">
        <v>43</v>
      </c>
      <c r="B41" s="1">
        <v>-13689</v>
      </c>
      <c r="C41" s="1">
        <v>118867</v>
      </c>
    </row>
  </sheetData>
  <autoFilter ref="A3:C41" xr:uid="{EB827314-48C7-4823-8F13-702C376326A3}">
    <filterColumn colId="0">
      <filters>
        <filter val="Credit"/>
        <filter val="Goldman"/>
        <filter val="JP Morgan"/>
        <filter val="Merrill"/>
        <filter val="Morgan"/>
        <filter val="Tullett"/>
        <filter val="UBS"/>
      </filters>
    </filterColumn>
  </autoFilter>
  <pageMargins left="0.511811024" right="0.511811024" top="0.78740157499999996" bottom="0.78740157499999996" header="0.31496062000000002" footer="0.3149606200000000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2053CB-69E7-48AA-8FF6-64E5B81D95B0}">
  <sheetPr codeName="Planilha25" filterMode="1"/>
  <dimension ref="A1:C44"/>
  <sheetViews>
    <sheetView workbookViewId="0">
      <selection activeCell="A3" sqref="A3:C3"/>
    </sheetView>
  </sheetViews>
  <sheetFormatPr defaultRowHeight="15" x14ac:dyDescent="0.25"/>
  <sheetData>
    <row r="1" spans="1:3" x14ac:dyDescent="0.25">
      <c r="A1" t="s">
        <v>48</v>
      </c>
    </row>
    <row r="2" spans="1:3" x14ac:dyDescent="0.25">
      <c r="A2">
        <f>_xlfn.AGGREGATE(9,5,A3:B60)</f>
        <v>23392</v>
      </c>
    </row>
    <row r="3" spans="1:3" x14ac:dyDescent="0.25">
      <c r="A3" t="s">
        <v>3</v>
      </c>
      <c r="B3" t="s">
        <v>4</v>
      </c>
      <c r="C3" t="s">
        <v>5</v>
      </c>
    </row>
    <row r="4" spans="1:3" hidden="1" x14ac:dyDescent="0.25">
      <c r="A4" t="s">
        <v>39</v>
      </c>
      <c r="B4" s="1">
        <v>48950</v>
      </c>
      <c r="C4" s="1">
        <v>119278</v>
      </c>
    </row>
    <row r="5" spans="1:3" hidden="1" x14ac:dyDescent="0.25">
      <c r="A5" t="s">
        <v>6</v>
      </c>
      <c r="B5" s="1">
        <v>17660</v>
      </c>
      <c r="C5" s="1">
        <v>119486</v>
      </c>
    </row>
    <row r="6" spans="1:3" hidden="1" x14ac:dyDescent="0.25">
      <c r="A6" t="s">
        <v>37</v>
      </c>
      <c r="B6" s="1">
        <v>14489</v>
      </c>
      <c r="C6" s="1">
        <v>119513</v>
      </c>
    </row>
    <row r="7" spans="1:3" hidden="1" x14ac:dyDescent="0.25">
      <c r="A7" t="s">
        <v>9</v>
      </c>
      <c r="B7" s="1">
        <v>13546</v>
      </c>
      <c r="C7" s="1">
        <v>119494</v>
      </c>
    </row>
    <row r="8" spans="1:3" x14ac:dyDescent="0.25">
      <c r="A8" t="s">
        <v>44</v>
      </c>
      <c r="B8" s="1">
        <v>10626</v>
      </c>
      <c r="C8" s="1">
        <v>119334</v>
      </c>
    </row>
    <row r="9" spans="1:3" hidden="1" x14ac:dyDescent="0.25">
      <c r="A9" t="s">
        <v>43</v>
      </c>
      <c r="B9" s="1">
        <v>10392</v>
      </c>
      <c r="C9" s="1">
        <v>119605</v>
      </c>
    </row>
    <row r="10" spans="1:3" x14ac:dyDescent="0.25">
      <c r="A10" t="s">
        <v>8</v>
      </c>
      <c r="B10" s="1">
        <v>6767</v>
      </c>
      <c r="C10" s="1">
        <v>119495</v>
      </c>
    </row>
    <row r="11" spans="1:3" x14ac:dyDescent="0.25">
      <c r="A11" t="s">
        <v>33</v>
      </c>
      <c r="B11" s="1">
        <v>4419</v>
      </c>
      <c r="C11" s="1">
        <v>119173</v>
      </c>
    </row>
    <row r="12" spans="1:3" x14ac:dyDescent="0.25">
      <c r="A12" t="s">
        <v>28</v>
      </c>
      <c r="B12" s="1">
        <v>4177</v>
      </c>
      <c r="C12" s="1">
        <v>119482</v>
      </c>
    </row>
    <row r="13" spans="1:3" hidden="1" x14ac:dyDescent="0.25">
      <c r="A13" t="s">
        <v>11</v>
      </c>
      <c r="B13" s="1">
        <v>2967</v>
      </c>
      <c r="C13" s="1">
        <v>119547</v>
      </c>
    </row>
    <row r="14" spans="1:3" hidden="1" x14ac:dyDescent="0.25">
      <c r="A14" t="s">
        <v>10</v>
      </c>
      <c r="B14" s="1">
        <v>1215</v>
      </c>
      <c r="C14" s="1">
        <v>119543</v>
      </c>
    </row>
    <row r="15" spans="1:3" hidden="1" x14ac:dyDescent="0.25">
      <c r="A15" t="s">
        <v>25</v>
      </c>
      <c r="B15" s="1">
        <v>1111</v>
      </c>
      <c r="C15" s="1">
        <v>118830</v>
      </c>
    </row>
    <row r="16" spans="1:3" hidden="1" x14ac:dyDescent="0.25">
      <c r="A16" t="s">
        <v>19</v>
      </c>
      <c r="B16">
        <v>582</v>
      </c>
      <c r="C16" s="1">
        <v>119472</v>
      </c>
    </row>
    <row r="17" spans="1:3" hidden="1" x14ac:dyDescent="0.25">
      <c r="A17" t="s">
        <v>13</v>
      </c>
      <c r="B17">
        <v>396</v>
      </c>
      <c r="C17" s="1">
        <v>119492</v>
      </c>
    </row>
    <row r="18" spans="1:3" x14ac:dyDescent="0.25">
      <c r="A18" t="s">
        <v>7</v>
      </c>
      <c r="B18">
        <v>194</v>
      </c>
      <c r="C18" s="1">
        <v>119966</v>
      </c>
    </row>
    <row r="19" spans="1:3" hidden="1" x14ac:dyDescent="0.25">
      <c r="A19" t="s">
        <v>12</v>
      </c>
      <c r="B19">
        <v>167</v>
      </c>
      <c r="C19" s="1">
        <v>119461</v>
      </c>
    </row>
    <row r="20" spans="1:3" hidden="1" x14ac:dyDescent="0.25">
      <c r="A20" t="s">
        <v>30</v>
      </c>
      <c r="B20">
        <v>166</v>
      </c>
      <c r="C20" s="1">
        <v>119463</v>
      </c>
    </row>
    <row r="21" spans="1:3" hidden="1" x14ac:dyDescent="0.25">
      <c r="A21" t="s">
        <v>29</v>
      </c>
      <c r="B21">
        <v>160</v>
      </c>
      <c r="C21" s="1">
        <v>119440</v>
      </c>
    </row>
    <row r="22" spans="1:3" hidden="1" x14ac:dyDescent="0.25">
      <c r="A22" t="s">
        <v>26</v>
      </c>
      <c r="B22">
        <v>130</v>
      </c>
      <c r="C22" s="1">
        <v>119581</v>
      </c>
    </row>
    <row r="23" spans="1:3" hidden="1" x14ac:dyDescent="0.25">
      <c r="A23" t="s">
        <v>34</v>
      </c>
      <c r="B23">
        <v>121</v>
      </c>
      <c r="C23" s="1">
        <v>119581</v>
      </c>
    </row>
    <row r="24" spans="1:3" hidden="1" x14ac:dyDescent="0.25">
      <c r="A24" t="s">
        <v>24</v>
      </c>
      <c r="B24">
        <v>36</v>
      </c>
      <c r="C24" s="1">
        <v>119148</v>
      </c>
    </row>
    <row r="25" spans="1:3" hidden="1" x14ac:dyDescent="0.25">
      <c r="A25" t="s">
        <v>46</v>
      </c>
      <c r="B25">
        <v>24</v>
      </c>
      <c r="C25" s="1">
        <v>120430</v>
      </c>
    </row>
    <row r="26" spans="1:3" hidden="1" x14ac:dyDescent="0.25">
      <c r="A26" t="s">
        <v>22</v>
      </c>
      <c r="B26">
        <v>-1</v>
      </c>
      <c r="C26" s="1">
        <v>119382</v>
      </c>
    </row>
    <row r="27" spans="1:3" hidden="1" x14ac:dyDescent="0.25">
      <c r="A27" t="s">
        <v>45</v>
      </c>
      <c r="B27">
        <v>-1</v>
      </c>
      <c r="C27" s="1">
        <v>119321</v>
      </c>
    </row>
    <row r="28" spans="1:3" hidden="1" x14ac:dyDescent="0.25">
      <c r="A28" t="s">
        <v>31</v>
      </c>
      <c r="B28">
        <v>-121</v>
      </c>
      <c r="C28" s="1">
        <v>119511</v>
      </c>
    </row>
    <row r="29" spans="1:3" hidden="1" x14ac:dyDescent="0.25">
      <c r="A29" t="s">
        <v>32</v>
      </c>
      <c r="B29">
        <v>-127</v>
      </c>
      <c r="C29" s="1">
        <v>119359</v>
      </c>
    </row>
    <row r="30" spans="1:3" hidden="1" x14ac:dyDescent="0.25">
      <c r="A30" t="s">
        <v>27</v>
      </c>
      <c r="B30">
        <v>-241</v>
      </c>
      <c r="C30" s="1">
        <v>119405</v>
      </c>
    </row>
    <row r="31" spans="1:3" hidden="1" x14ac:dyDescent="0.25">
      <c r="A31" t="s">
        <v>21</v>
      </c>
      <c r="B31">
        <v>-259</v>
      </c>
      <c r="C31" s="1">
        <v>119442</v>
      </c>
    </row>
    <row r="32" spans="1:3" hidden="1" x14ac:dyDescent="0.25">
      <c r="A32" t="s">
        <v>18</v>
      </c>
      <c r="B32">
        <v>-495</v>
      </c>
      <c r="C32" s="1">
        <v>119494</v>
      </c>
    </row>
    <row r="33" spans="1:3" hidden="1" x14ac:dyDescent="0.25">
      <c r="A33" t="s">
        <v>38</v>
      </c>
      <c r="B33">
        <v>-586</v>
      </c>
      <c r="C33" s="1">
        <v>119523</v>
      </c>
    </row>
    <row r="34" spans="1:3" hidden="1" x14ac:dyDescent="0.25">
      <c r="A34" t="s">
        <v>16</v>
      </c>
      <c r="B34">
        <v>-658</v>
      </c>
      <c r="C34" s="1">
        <v>119478</v>
      </c>
    </row>
    <row r="35" spans="1:3" hidden="1" x14ac:dyDescent="0.25">
      <c r="A35" t="s">
        <v>23</v>
      </c>
      <c r="B35" s="1">
        <v>-1031</v>
      </c>
      <c r="C35" s="1">
        <v>119764</v>
      </c>
    </row>
    <row r="36" spans="1:3" x14ac:dyDescent="0.25">
      <c r="A36" t="s">
        <v>42</v>
      </c>
      <c r="B36" s="1">
        <v>-1198</v>
      </c>
      <c r="C36" s="1">
        <v>119216</v>
      </c>
    </row>
    <row r="37" spans="1:3" x14ac:dyDescent="0.25">
      <c r="A37" t="s">
        <v>17</v>
      </c>
      <c r="B37" s="1">
        <v>-1593</v>
      </c>
      <c r="C37" s="1">
        <v>119504</v>
      </c>
    </row>
    <row r="38" spans="1:3" hidden="1" x14ac:dyDescent="0.25">
      <c r="A38" t="s">
        <v>15</v>
      </c>
      <c r="B38" s="1">
        <v>-1628</v>
      </c>
      <c r="C38" s="1">
        <v>119493</v>
      </c>
    </row>
    <row r="39" spans="1:3" hidden="1" x14ac:dyDescent="0.25">
      <c r="A39" t="s">
        <v>14</v>
      </c>
      <c r="B39" s="1">
        <v>-1922</v>
      </c>
      <c r="C39" s="1">
        <v>119570</v>
      </c>
    </row>
    <row r="40" spans="1:3" hidden="1" x14ac:dyDescent="0.25">
      <c r="A40" t="s">
        <v>36</v>
      </c>
      <c r="B40" s="1">
        <v>-2251</v>
      </c>
      <c r="C40" s="1">
        <v>119482</v>
      </c>
    </row>
    <row r="41" spans="1:3" hidden="1" x14ac:dyDescent="0.25">
      <c r="A41" t="s">
        <v>20</v>
      </c>
      <c r="B41" s="1">
        <v>-2386</v>
      </c>
      <c r="C41" s="1">
        <v>119587</v>
      </c>
    </row>
    <row r="42" spans="1:3" hidden="1" x14ac:dyDescent="0.25">
      <c r="A42" t="s">
        <v>35</v>
      </c>
      <c r="B42" s="1">
        <v>-16119</v>
      </c>
      <c r="C42" s="1">
        <v>119483</v>
      </c>
    </row>
    <row r="43" spans="1:3" hidden="1" x14ac:dyDescent="0.25">
      <c r="A43" t="s">
        <v>40</v>
      </c>
      <c r="B43" s="1">
        <v>-47361</v>
      </c>
      <c r="C43" s="1">
        <v>119465</v>
      </c>
    </row>
    <row r="44" spans="1:3" hidden="1" x14ac:dyDescent="0.25">
      <c r="A44" t="s">
        <v>41</v>
      </c>
      <c r="B44" s="1">
        <v>-60317</v>
      </c>
      <c r="C44" s="1">
        <v>119510</v>
      </c>
    </row>
  </sheetData>
  <autoFilter ref="A3:C44" xr:uid="{0A2053CB-69E7-48AA-8FF6-64E5B81D95B0}">
    <filterColumn colId="0">
      <filters>
        <filter val="Credit"/>
        <filter val="Goldman"/>
        <filter val="JP Morgan"/>
        <filter val="Merrill"/>
        <filter val="Morgan"/>
        <filter val="Tullett"/>
        <filter val="UBS"/>
      </filters>
    </filterColumn>
  </autoFilter>
  <pageMargins left="0.511811024" right="0.511811024" top="0.78740157499999996" bottom="0.78740157499999996" header="0.31496062000000002" footer="0.3149606200000000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5C4ED-3C7D-4B3F-BE5E-6B3968FBC179}">
  <sheetPr codeName="Planilha24" filterMode="1"/>
  <dimension ref="A1:C44"/>
  <sheetViews>
    <sheetView workbookViewId="0">
      <selection activeCell="A3" sqref="A3:C3"/>
    </sheetView>
  </sheetViews>
  <sheetFormatPr defaultRowHeight="15" x14ac:dyDescent="0.25"/>
  <sheetData>
    <row r="1" spans="1:3" x14ac:dyDescent="0.25">
      <c r="A1" t="s">
        <v>48</v>
      </c>
    </row>
    <row r="2" spans="1:3" x14ac:dyDescent="0.25">
      <c r="A2">
        <f>_xlfn.AGGREGATE(9,5,A4:B60)</f>
        <v>3407</v>
      </c>
    </row>
    <row r="3" spans="1:3" x14ac:dyDescent="0.25">
      <c r="A3" t="s">
        <v>3</v>
      </c>
      <c r="B3" t="s">
        <v>4</v>
      </c>
      <c r="C3" t="s">
        <v>5</v>
      </c>
    </row>
    <row r="4" spans="1:3" hidden="1" x14ac:dyDescent="0.25">
      <c r="A4" t="s">
        <v>40</v>
      </c>
      <c r="B4" s="1">
        <v>23770</v>
      </c>
      <c r="C4" s="1">
        <v>120771</v>
      </c>
    </row>
    <row r="5" spans="1:3" hidden="1" x14ac:dyDescent="0.25">
      <c r="A5" t="s">
        <v>9</v>
      </c>
      <c r="B5" s="1">
        <v>18533</v>
      </c>
      <c r="C5" s="1">
        <v>120771</v>
      </c>
    </row>
    <row r="6" spans="1:3" x14ac:dyDescent="0.25">
      <c r="A6" t="s">
        <v>44</v>
      </c>
      <c r="B6" s="1">
        <v>14613</v>
      </c>
      <c r="C6" s="1">
        <v>120720</v>
      </c>
    </row>
    <row r="7" spans="1:3" hidden="1" x14ac:dyDescent="0.25">
      <c r="A7" t="s">
        <v>10</v>
      </c>
      <c r="B7" s="1">
        <v>10895</v>
      </c>
      <c r="C7" s="1">
        <v>120762</v>
      </c>
    </row>
    <row r="8" spans="1:3" hidden="1" x14ac:dyDescent="0.25">
      <c r="A8" t="s">
        <v>14</v>
      </c>
      <c r="B8" s="1">
        <v>7478</v>
      </c>
      <c r="C8" s="1">
        <v>120795</v>
      </c>
    </row>
    <row r="9" spans="1:3" hidden="1" x14ac:dyDescent="0.25">
      <c r="A9" t="s">
        <v>37</v>
      </c>
      <c r="B9" s="1">
        <v>6803</v>
      </c>
      <c r="C9" s="1">
        <v>120781</v>
      </c>
    </row>
    <row r="10" spans="1:3" hidden="1" x14ac:dyDescent="0.25">
      <c r="A10" t="s">
        <v>36</v>
      </c>
      <c r="B10" s="1">
        <v>5744</v>
      </c>
      <c r="C10" s="1">
        <v>120797</v>
      </c>
    </row>
    <row r="11" spans="1:3" x14ac:dyDescent="0.25">
      <c r="A11" t="s">
        <v>17</v>
      </c>
      <c r="B11" s="1">
        <v>5392</v>
      </c>
      <c r="C11" s="1">
        <v>120784</v>
      </c>
    </row>
    <row r="12" spans="1:3" x14ac:dyDescent="0.25">
      <c r="A12" t="s">
        <v>8</v>
      </c>
      <c r="B12" s="1">
        <v>2987</v>
      </c>
      <c r="C12" s="1">
        <v>120766</v>
      </c>
    </row>
    <row r="13" spans="1:3" hidden="1" x14ac:dyDescent="0.25">
      <c r="A13" t="s">
        <v>34</v>
      </c>
      <c r="B13" s="1">
        <v>1929</v>
      </c>
      <c r="C13" s="1">
        <v>120783</v>
      </c>
    </row>
    <row r="14" spans="1:3" hidden="1" x14ac:dyDescent="0.25">
      <c r="A14" t="s">
        <v>38</v>
      </c>
      <c r="B14">
        <v>914</v>
      </c>
      <c r="C14" s="1">
        <v>120782</v>
      </c>
    </row>
    <row r="15" spans="1:3" hidden="1" x14ac:dyDescent="0.25">
      <c r="A15" t="s">
        <v>46</v>
      </c>
      <c r="B15">
        <v>620</v>
      </c>
      <c r="C15" s="1">
        <v>120698</v>
      </c>
    </row>
    <row r="16" spans="1:3" x14ac:dyDescent="0.25">
      <c r="A16" t="s">
        <v>42</v>
      </c>
      <c r="B16">
        <v>457</v>
      </c>
      <c r="C16" s="1">
        <v>120816</v>
      </c>
    </row>
    <row r="17" spans="1:3" hidden="1" x14ac:dyDescent="0.25">
      <c r="A17" t="s">
        <v>19</v>
      </c>
      <c r="B17">
        <v>444</v>
      </c>
      <c r="C17" s="1">
        <v>120778</v>
      </c>
    </row>
    <row r="18" spans="1:3" hidden="1" x14ac:dyDescent="0.25">
      <c r="A18" t="s">
        <v>29</v>
      </c>
      <c r="B18">
        <v>96</v>
      </c>
      <c r="C18" s="1">
        <v>120717</v>
      </c>
    </row>
    <row r="19" spans="1:3" hidden="1" x14ac:dyDescent="0.25">
      <c r="A19" t="s">
        <v>31</v>
      </c>
      <c r="B19">
        <v>50</v>
      </c>
      <c r="C19" s="1">
        <v>120772</v>
      </c>
    </row>
    <row r="20" spans="1:3" hidden="1" x14ac:dyDescent="0.25">
      <c r="A20" t="s">
        <v>24</v>
      </c>
      <c r="B20">
        <v>49</v>
      </c>
      <c r="C20" s="1">
        <v>120789</v>
      </c>
    </row>
    <row r="21" spans="1:3" hidden="1" x14ac:dyDescent="0.25">
      <c r="A21" t="s">
        <v>22</v>
      </c>
      <c r="B21">
        <v>-10</v>
      </c>
      <c r="C21" s="1">
        <v>120812</v>
      </c>
    </row>
    <row r="22" spans="1:3" hidden="1" x14ac:dyDescent="0.25">
      <c r="A22" t="s">
        <v>23</v>
      </c>
      <c r="B22">
        <v>-13</v>
      </c>
      <c r="C22" s="1">
        <v>120602</v>
      </c>
    </row>
    <row r="23" spans="1:3" hidden="1" x14ac:dyDescent="0.25">
      <c r="A23" t="s">
        <v>32</v>
      </c>
      <c r="B23">
        <v>-20</v>
      </c>
      <c r="C23" s="1">
        <v>120869</v>
      </c>
    </row>
    <row r="24" spans="1:3" hidden="1" x14ac:dyDescent="0.25">
      <c r="A24" t="s">
        <v>30</v>
      </c>
      <c r="B24">
        <v>-29</v>
      </c>
      <c r="C24" s="1">
        <v>120731</v>
      </c>
    </row>
    <row r="25" spans="1:3" hidden="1" x14ac:dyDescent="0.25">
      <c r="A25" t="s">
        <v>45</v>
      </c>
      <c r="B25">
        <v>-50</v>
      </c>
      <c r="C25" s="1">
        <v>120720</v>
      </c>
    </row>
    <row r="26" spans="1:3" hidden="1" x14ac:dyDescent="0.25">
      <c r="A26" t="s">
        <v>26</v>
      </c>
      <c r="B26">
        <v>-90</v>
      </c>
      <c r="C26" s="1">
        <v>120850</v>
      </c>
    </row>
    <row r="27" spans="1:3" hidden="1" x14ac:dyDescent="0.25">
      <c r="A27" t="s">
        <v>21</v>
      </c>
      <c r="B27">
        <v>-196</v>
      </c>
      <c r="C27" s="1">
        <v>120922</v>
      </c>
    </row>
    <row r="28" spans="1:3" hidden="1" x14ac:dyDescent="0.25">
      <c r="A28" t="s">
        <v>27</v>
      </c>
      <c r="B28">
        <v>-340</v>
      </c>
      <c r="C28" s="1">
        <v>120759</v>
      </c>
    </row>
    <row r="29" spans="1:3" hidden="1" x14ac:dyDescent="0.25">
      <c r="A29" t="s">
        <v>15</v>
      </c>
      <c r="B29">
        <v>-820</v>
      </c>
      <c r="C29" s="1">
        <v>120835</v>
      </c>
    </row>
    <row r="30" spans="1:3" hidden="1" x14ac:dyDescent="0.25">
      <c r="A30" t="s">
        <v>25</v>
      </c>
      <c r="B30">
        <v>-994</v>
      </c>
      <c r="C30" s="1">
        <v>121055</v>
      </c>
    </row>
    <row r="31" spans="1:3" hidden="1" x14ac:dyDescent="0.25">
      <c r="A31" t="s">
        <v>11</v>
      </c>
      <c r="B31" s="1">
        <v>-1401</v>
      </c>
      <c r="C31" s="1">
        <v>120609</v>
      </c>
    </row>
    <row r="32" spans="1:3" hidden="1" x14ac:dyDescent="0.25">
      <c r="A32" t="s">
        <v>12</v>
      </c>
      <c r="B32" s="1">
        <v>-2027</v>
      </c>
      <c r="C32" s="1">
        <v>120805</v>
      </c>
    </row>
    <row r="33" spans="1:3" hidden="1" x14ac:dyDescent="0.25">
      <c r="A33" t="s">
        <v>18</v>
      </c>
      <c r="B33" s="1">
        <v>-2211</v>
      </c>
      <c r="C33" s="1">
        <v>120768</v>
      </c>
    </row>
    <row r="34" spans="1:3" hidden="1" x14ac:dyDescent="0.25">
      <c r="A34" t="s">
        <v>20</v>
      </c>
      <c r="B34" s="1">
        <v>-3247</v>
      </c>
      <c r="C34" s="1">
        <v>120817</v>
      </c>
    </row>
    <row r="35" spans="1:3" hidden="1" x14ac:dyDescent="0.25">
      <c r="A35" t="s">
        <v>16</v>
      </c>
      <c r="B35" s="1">
        <v>-3378</v>
      </c>
      <c r="C35" s="1">
        <v>120766</v>
      </c>
    </row>
    <row r="36" spans="1:3" x14ac:dyDescent="0.25">
      <c r="A36" t="s">
        <v>28</v>
      </c>
      <c r="B36" s="1">
        <v>-3481</v>
      </c>
      <c r="C36" s="1">
        <v>120697</v>
      </c>
    </row>
    <row r="37" spans="1:3" x14ac:dyDescent="0.25">
      <c r="A37" t="s">
        <v>7</v>
      </c>
      <c r="B37" s="1">
        <v>-4977</v>
      </c>
      <c r="C37" s="1">
        <v>120890</v>
      </c>
    </row>
    <row r="38" spans="1:3" hidden="1" x14ac:dyDescent="0.25">
      <c r="A38" t="s">
        <v>6</v>
      </c>
      <c r="B38" s="1">
        <v>-7929</v>
      </c>
      <c r="C38" s="1">
        <v>120771</v>
      </c>
    </row>
    <row r="39" spans="1:3" hidden="1" x14ac:dyDescent="0.25">
      <c r="A39" t="s">
        <v>41</v>
      </c>
      <c r="B39" s="1">
        <v>-8372</v>
      </c>
      <c r="C39" s="1">
        <v>120752</v>
      </c>
    </row>
    <row r="40" spans="1:3" hidden="1" x14ac:dyDescent="0.25">
      <c r="A40" t="s">
        <v>35</v>
      </c>
      <c r="B40" s="1">
        <v>-8907</v>
      </c>
      <c r="C40" s="1">
        <v>120771</v>
      </c>
    </row>
    <row r="41" spans="1:3" hidden="1" x14ac:dyDescent="0.25">
      <c r="A41" t="s">
        <v>13</v>
      </c>
      <c r="B41" s="1">
        <v>-9585</v>
      </c>
      <c r="C41" s="1">
        <v>120682</v>
      </c>
    </row>
    <row r="42" spans="1:3" x14ac:dyDescent="0.25">
      <c r="A42" t="s">
        <v>33</v>
      </c>
      <c r="B42" s="1">
        <v>-11584</v>
      </c>
      <c r="C42" s="1">
        <v>120853</v>
      </c>
    </row>
    <row r="43" spans="1:3" hidden="1" x14ac:dyDescent="0.25">
      <c r="A43" t="s">
        <v>39</v>
      </c>
      <c r="B43" s="1">
        <v>-11967</v>
      </c>
      <c r="C43" s="1">
        <v>120740</v>
      </c>
    </row>
    <row r="44" spans="1:3" hidden="1" x14ac:dyDescent="0.25">
      <c r="A44" t="s">
        <v>43</v>
      </c>
      <c r="B44" s="1">
        <v>-19146</v>
      </c>
      <c r="C44" s="1">
        <v>120767</v>
      </c>
    </row>
  </sheetData>
  <autoFilter ref="A3:C44" xr:uid="{C025C4ED-3C7D-4B3F-BE5E-6B3968FBC179}">
    <filterColumn colId="0">
      <filters>
        <filter val="Credit"/>
        <filter val="Goldman"/>
        <filter val="JP Morgan"/>
        <filter val="Merrill"/>
        <filter val="Morgan"/>
        <filter val="Tullett"/>
        <filter val="UBS"/>
      </filters>
    </filterColumn>
  </autoFilter>
  <pageMargins left="0.511811024" right="0.511811024" top="0.78740157499999996" bottom="0.78740157499999996" header="0.31496062000000002" footer="0.3149606200000000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F41F8-AA68-4B2D-B412-9765C95EE0B0}">
  <sheetPr codeName="Planilha2" filterMode="1"/>
  <dimension ref="A1:C43"/>
  <sheetViews>
    <sheetView workbookViewId="0">
      <selection activeCell="B43" sqref="B43"/>
    </sheetView>
  </sheetViews>
  <sheetFormatPr defaultRowHeight="15" x14ac:dyDescent="0.25"/>
  <sheetData>
    <row r="1" spans="1:3" x14ac:dyDescent="0.25">
      <c r="A1" t="s">
        <v>3</v>
      </c>
      <c r="B1" t="s">
        <v>4</v>
      </c>
      <c r="C1" t="s">
        <v>5</v>
      </c>
    </row>
    <row r="2" spans="1:3" x14ac:dyDescent="0.25">
      <c r="A2" t="s">
        <v>44</v>
      </c>
      <c r="B2" s="1">
        <v>31696</v>
      </c>
      <c r="C2">
        <v>121.126</v>
      </c>
    </row>
    <row r="3" spans="1:3" hidden="1" x14ac:dyDescent="0.25">
      <c r="A3" t="s">
        <v>40</v>
      </c>
      <c r="B3">
        <v>19.937000000000001</v>
      </c>
      <c r="C3">
        <v>121.259</v>
      </c>
    </row>
    <row r="4" spans="1:3" hidden="1" x14ac:dyDescent="0.25">
      <c r="A4" t="s">
        <v>9</v>
      </c>
      <c r="B4">
        <v>13.843999999999999</v>
      </c>
      <c r="C4">
        <v>121.261</v>
      </c>
    </row>
    <row r="5" spans="1:3" hidden="1" x14ac:dyDescent="0.25">
      <c r="A5" t="s">
        <v>11</v>
      </c>
      <c r="B5">
        <v>9.0310000000000006</v>
      </c>
      <c r="C5">
        <v>121.306</v>
      </c>
    </row>
    <row r="6" spans="1:3" hidden="1" x14ac:dyDescent="0.25">
      <c r="A6" t="s">
        <v>6</v>
      </c>
      <c r="B6">
        <v>8.6959999999999997</v>
      </c>
      <c r="C6">
        <v>121.259</v>
      </c>
    </row>
    <row r="7" spans="1:3" hidden="1" x14ac:dyDescent="0.25">
      <c r="A7" t="s">
        <v>10</v>
      </c>
      <c r="B7">
        <v>7.9249999999999998</v>
      </c>
      <c r="C7">
        <v>121.31699999999999</v>
      </c>
    </row>
    <row r="8" spans="1:3" x14ac:dyDescent="0.25">
      <c r="A8" t="s">
        <v>8</v>
      </c>
      <c r="B8" s="1">
        <v>7803</v>
      </c>
      <c r="C8">
        <v>121.252</v>
      </c>
    </row>
    <row r="9" spans="1:3" hidden="1" x14ac:dyDescent="0.25">
      <c r="A9" t="s">
        <v>39</v>
      </c>
      <c r="B9">
        <v>5.3019999999999996</v>
      </c>
      <c r="C9">
        <v>121.173</v>
      </c>
    </row>
    <row r="10" spans="1:3" hidden="1" x14ac:dyDescent="0.25">
      <c r="A10" t="s">
        <v>43</v>
      </c>
      <c r="B10">
        <v>4.1840000000000002</v>
      </c>
      <c r="C10">
        <v>121.211</v>
      </c>
    </row>
    <row r="11" spans="1:3" hidden="1" x14ac:dyDescent="0.25">
      <c r="A11" t="s">
        <v>25</v>
      </c>
      <c r="B11">
        <v>3.0049999999999999</v>
      </c>
      <c r="C11">
        <v>120.773</v>
      </c>
    </row>
    <row r="12" spans="1:3" hidden="1" x14ac:dyDescent="0.25">
      <c r="A12" t="s">
        <v>34</v>
      </c>
      <c r="B12">
        <v>2.625</v>
      </c>
      <c r="C12">
        <v>121.29300000000001</v>
      </c>
    </row>
    <row r="13" spans="1:3" hidden="1" x14ac:dyDescent="0.25">
      <c r="A13" t="s">
        <v>36</v>
      </c>
      <c r="B13">
        <v>2.3279999999999998</v>
      </c>
      <c r="C13">
        <v>121.19499999999999</v>
      </c>
    </row>
    <row r="14" spans="1:3" hidden="1" x14ac:dyDescent="0.25">
      <c r="A14" t="s">
        <v>15</v>
      </c>
      <c r="B14">
        <v>2.1859999999999999</v>
      </c>
      <c r="C14">
        <v>121.276</v>
      </c>
    </row>
    <row r="15" spans="1:3" hidden="1" x14ac:dyDescent="0.25">
      <c r="A15" t="s">
        <v>16</v>
      </c>
      <c r="B15">
        <v>1.7889999999999999</v>
      </c>
      <c r="C15">
        <v>121.258</v>
      </c>
    </row>
    <row r="16" spans="1:3" hidden="1" x14ac:dyDescent="0.25">
      <c r="A16" t="s">
        <v>38</v>
      </c>
      <c r="B16">
        <v>1.7769999999999999</v>
      </c>
      <c r="C16">
        <v>121.27800000000001</v>
      </c>
    </row>
    <row r="17" spans="1:3" hidden="1" x14ac:dyDescent="0.25">
      <c r="A17" t="s">
        <v>20</v>
      </c>
      <c r="B17">
        <v>962</v>
      </c>
      <c r="C17">
        <v>121.286</v>
      </c>
    </row>
    <row r="18" spans="1:3" hidden="1" x14ac:dyDescent="0.25">
      <c r="A18" t="s">
        <v>31</v>
      </c>
      <c r="B18">
        <v>911</v>
      </c>
      <c r="C18">
        <v>121.26300000000001</v>
      </c>
    </row>
    <row r="19" spans="1:3" hidden="1" x14ac:dyDescent="0.25">
      <c r="A19" t="s">
        <v>46</v>
      </c>
      <c r="B19">
        <v>803</v>
      </c>
      <c r="C19">
        <v>121.264</v>
      </c>
    </row>
    <row r="20" spans="1:3" hidden="1" x14ac:dyDescent="0.25">
      <c r="A20" t="s">
        <v>19</v>
      </c>
      <c r="B20">
        <v>545</v>
      </c>
      <c r="C20">
        <v>121.295</v>
      </c>
    </row>
    <row r="21" spans="1:3" hidden="1" x14ac:dyDescent="0.25">
      <c r="A21" t="s">
        <v>21</v>
      </c>
      <c r="B21">
        <v>429</v>
      </c>
      <c r="C21">
        <v>121.30200000000001</v>
      </c>
    </row>
    <row r="22" spans="1:3" hidden="1" x14ac:dyDescent="0.25">
      <c r="A22" t="s">
        <v>26</v>
      </c>
      <c r="B22">
        <v>239</v>
      </c>
      <c r="C22">
        <v>121.038</v>
      </c>
    </row>
    <row r="23" spans="1:3" hidden="1" x14ac:dyDescent="0.25">
      <c r="A23" t="s">
        <v>45</v>
      </c>
      <c r="B23">
        <v>41</v>
      </c>
      <c r="C23">
        <v>121.304</v>
      </c>
    </row>
    <row r="24" spans="1:3" hidden="1" x14ac:dyDescent="0.25">
      <c r="A24" t="s">
        <v>22</v>
      </c>
      <c r="B24">
        <v>30</v>
      </c>
      <c r="C24">
        <v>120.985</v>
      </c>
    </row>
    <row r="25" spans="1:3" hidden="1" x14ac:dyDescent="0.25">
      <c r="A25" t="s">
        <v>32</v>
      </c>
      <c r="B25">
        <v>15</v>
      </c>
      <c r="C25">
        <v>121.21599999999999</v>
      </c>
    </row>
    <row r="26" spans="1:3" hidden="1" x14ac:dyDescent="0.25">
      <c r="A26" t="s">
        <v>24</v>
      </c>
      <c r="B26">
        <v>-14</v>
      </c>
      <c r="C26">
        <v>121.35299999999999</v>
      </c>
    </row>
    <row r="27" spans="1:3" x14ac:dyDescent="0.25">
      <c r="A27" t="s">
        <v>42</v>
      </c>
      <c r="B27">
        <v>-19</v>
      </c>
      <c r="C27">
        <v>121.425</v>
      </c>
    </row>
    <row r="28" spans="1:3" hidden="1" x14ac:dyDescent="0.25">
      <c r="A28" t="s">
        <v>30</v>
      </c>
      <c r="B28">
        <v>-33</v>
      </c>
      <c r="C28">
        <v>121.09099999999999</v>
      </c>
    </row>
    <row r="29" spans="1:3" hidden="1" x14ac:dyDescent="0.25">
      <c r="A29" t="s">
        <v>29</v>
      </c>
      <c r="B29">
        <v>-103</v>
      </c>
      <c r="C29">
        <v>121.264</v>
      </c>
    </row>
    <row r="30" spans="1:3" hidden="1" x14ac:dyDescent="0.25">
      <c r="A30" t="s">
        <v>18</v>
      </c>
      <c r="B30">
        <v>-137</v>
      </c>
      <c r="C30">
        <v>121.292</v>
      </c>
    </row>
    <row r="31" spans="1:3" hidden="1" x14ac:dyDescent="0.25">
      <c r="A31" t="s">
        <v>27</v>
      </c>
      <c r="B31">
        <v>-182</v>
      </c>
      <c r="C31">
        <v>121.253</v>
      </c>
    </row>
    <row r="32" spans="1:3" hidden="1" x14ac:dyDescent="0.25">
      <c r="A32" t="s">
        <v>12</v>
      </c>
      <c r="B32">
        <v>-1.8560000000000001</v>
      </c>
      <c r="C32">
        <v>121.227</v>
      </c>
    </row>
    <row r="33" spans="1:3" hidden="1" x14ac:dyDescent="0.25">
      <c r="A33" t="s">
        <v>37</v>
      </c>
      <c r="B33">
        <v>-4.1959999999999997</v>
      </c>
      <c r="C33">
        <v>121.252</v>
      </c>
    </row>
    <row r="34" spans="1:3" hidden="1" x14ac:dyDescent="0.25">
      <c r="A34" t="s">
        <v>23</v>
      </c>
      <c r="B34">
        <v>-5.9889999999999999</v>
      </c>
      <c r="C34">
        <v>121.255</v>
      </c>
    </row>
    <row r="35" spans="1:3" x14ac:dyDescent="0.25">
      <c r="A35" t="s">
        <v>17</v>
      </c>
      <c r="B35" s="1">
        <v>-8630</v>
      </c>
      <c r="C35">
        <v>121.178</v>
      </c>
    </row>
    <row r="36" spans="1:3" x14ac:dyDescent="0.25">
      <c r="A36" t="s">
        <v>33</v>
      </c>
      <c r="B36" s="1">
        <v>-11148</v>
      </c>
      <c r="C36">
        <v>121.24299999999999</v>
      </c>
    </row>
    <row r="37" spans="1:3" hidden="1" x14ac:dyDescent="0.25">
      <c r="A37" t="s">
        <v>35</v>
      </c>
      <c r="B37">
        <v>-11.492000000000001</v>
      </c>
      <c r="C37">
        <v>121.27</v>
      </c>
    </row>
    <row r="38" spans="1:3" x14ac:dyDescent="0.25">
      <c r="A38" t="s">
        <v>7</v>
      </c>
      <c r="B38" s="1">
        <v>-12276</v>
      </c>
      <c r="C38">
        <v>121.14400000000001</v>
      </c>
    </row>
    <row r="39" spans="1:3" hidden="1" x14ac:dyDescent="0.25">
      <c r="A39" t="s">
        <v>14</v>
      </c>
      <c r="B39">
        <v>-15.141999999999999</v>
      </c>
      <c r="C39">
        <v>121.172</v>
      </c>
    </row>
    <row r="40" spans="1:3" hidden="1" x14ac:dyDescent="0.25">
      <c r="A40" t="s">
        <v>13</v>
      </c>
      <c r="B40">
        <v>-17.664999999999999</v>
      </c>
      <c r="C40">
        <v>121.166</v>
      </c>
    </row>
    <row r="41" spans="1:3" hidden="1" x14ac:dyDescent="0.25">
      <c r="A41" t="s">
        <v>41</v>
      </c>
      <c r="B41">
        <v>-18.05</v>
      </c>
      <c r="C41">
        <v>121.295</v>
      </c>
    </row>
    <row r="42" spans="1:3" x14ac:dyDescent="0.25">
      <c r="A42" t="s">
        <v>28</v>
      </c>
      <c r="B42" s="1">
        <v>-19171</v>
      </c>
      <c r="C42">
        <v>121.346</v>
      </c>
    </row>
    <row r="43" spans="1:3" x14ac:dyDescent="0.25">
      <c r="B43">
        <f>SUM(B2,B8,B27,B35,B36,B38,B42)</f>
        <v>-11745</v>
      </c>
    </row>
  </sheetData>
  <autoFilter ref="A1:A42" xr:uid="{DB3F41F8-AA68-4B2D-B412-9765C95EE0B0}">
    <filterColumn colId="0">
      <filters>
        <filter val="Citigroup"/>
        <filter val="Credit"/>
        <filter val="Goldman"/>
        <filter val="JP Morgan"/>
        <filter val="Merrill"/>
        <filter val="Morgan"/>
        <filter val="Tullett"/>
        <filter val="UBS"/>
      </filters>
    </filterColumn>
  </autoFilter>
  <pageMargins left="0.511811024" right="0.511811024" top="0.78740157499999996" bottom="0.78740157499999996" header="0.31496062000000002" footer="0.3149606200000000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8B55C-41AE-43E6-98C2-ED4D3DE092CB}">
  <sheetPr codeName="Planilha3" filterMode="1"/>
  <dimension ref="A1:C42"/>
  <sheetViews>
    <sheetView workbookViewId="0">
      <selection activeCell="B43" sqref="B43"/>
    </sheetView>
  </sheetViews>
  <sheetFormatPr defaultRowHeight="15" x14ac:dyDescent="0.25"/>
  <sheetData>
    <row r="1" spans="1:3" x14ac:dyDescent="0.25">
      <c r="A1" t="s">
        <v>3</v>
      </c>
      <c r="B1" t="s">
        <v>4</v>
      </c>
      <c r="C1" t="s">
        <v>5</v>
      </c>
    </row>
    <row r="2" spans="1:3" x14ac:dyDescent="0.25">
      <c r="A2" t="s">
        <v>44</v>
      </c>
      <c r="B2">
        <v>17.742999999999999</v>
      </c>
      <c r="C2">
        <v>122.021</v>
      </c>
    </row>
    <row r="3" spans="1:3" hidden="1" x14ac:dyDescent="0.25">
      <c r="A3" t="s">
        <v>6</v>
      </c>
      <c r="B3">
        <v>14.569000000000001</v>
      </c>
      <c r="C3">
        <v>122.01</v>
      </c>
    </row>
    <row r="4" spans="1:3" x14ac:dyDescent="0.25">
      <c r="A4" t="s">
        <v>8</v>
      </c>
      <c r="B4">
        <v>14.478</v>
      </c>
      <c r="C4">
        <v>121.96899999999999</v>
      </c>
    </row>
    <row r="5" spans="1:3" x14ac:dyDescent="0.25">
      <c r="A5" t="s">
        <v>7</v>
      </c>
      <c r="B5">
        <v>9.4939999999999998</v>
      </c>
      <c r="C5">
        <v>121.681</v>
      </c>
    </row>
    <row r="6" spans="1:3" hidden="1" x14ac:dyDescent="0.25">
      <c r="A6" t="s">
        <v>41</v>
      </c>
      <c r="B6">
        <v>9.093</v>
      </c>
      <c r="C6">
        <v>121.97</v>
      </c>
    </row>
    <row r="7" spans="1:3" hidden="1" x14ac:dyDescent="0.25">
      <c r="A7" t="s">
        <v>10</v>
      </c>
      <c r="B7">
        <v>6.8159999999999998</v>
      </c>
      <c r="C7">
        <v>121.982</v>
      </c>
    </row>
    <row r="8" spans="1:3" hidden="1" x14ac:dyDescent="0.25">
      <c r="A8" t="s">
        <v>14</v>
      </c>
      <c r="B8">
        <v>3.55</v>
      </c>
      <c r="C8">
        <v>122.004</v>
      </c>
    </row>
    <row r="9" spans="1:3" hidden="1" x14ac:dyDescent="0.25">
      <c r="A9" t="s">
        <v>46</v>
      </c>
      <c r="B9">
        <v>3.05</v>
      </c>
      <c r="C9">
        <v>122.479</v>
      </c>
    </row>
    <row r="10" spans="1:3" x14ac:dyDescent="0.25">
      <c r="A10" t="s">
        <v>28</v>
      </c>
      <c r="B10">
        <v>2.9910000000000001</v>
      </c>
      <c r="C10">
        <v>122.01</v>
      </c>
    </row>
    <row r="11" spans="1:3" hidden="1" x14ac:dyDescent="0.25">
      <c r="A11" t="s">
        <v>38</v>
      </c>
      <c r="B11">
        <v>2.718</v>
      </c>
      <c r="C11">
        <v>121.999</v>
      </c>
    </row>
    <row r="12" spans="1:3" x14ac:dyDescent="0.25">
      <c r="A12" t="s">
        <v>17</v>
      </c>
      <c r="B12">
        <v>2.7650000000000001</v>
      </c>
      <c r="C12">
        <v>121.97</v>
      </c>
    </row>
    <row r="13" spans="1:3" hidden="1" x14ac:dyDescent="0.25">
      <c r="A13" t="s">
        <v>20</v>
      </c>
      <c r="B13">
        <v>1.5820000000000001</v>
      </c>
      <c r="C13">
        <v>121.996</v>
      </c>
    </row>
    <row r="14" spans="1:3" hidden="1" x14ac:dyDescent="0.25">
      <c r="A14" t="s">
        <v>40</v>
      </c>
      <c r="B14">
        <v>1.3859999999999999</v>
      </c>
      <c r="C14">
        <v>122.002</v>
      </c>
    </row>
    <row r="15" spans="1:3" hidden="1" x14ac:dyDescent="0.25">
      <c r="A15" t="s">
        <v>18</v>
      </c>
      <c r="B15">
        <v>916</v>
      </c>
      <c r="C15">
        <v>122.003</v>
      </c>
    </row>
    <row r="16" spans="1:3" hidden="1" x14ac:dyDescent="0.25">
      <c r="A16" t="s">
        <v>19</v>
      </c>
      <c r="B16">
        <v>271</v>
      </c>
      <c r="C16">
        <v>122.065</v>
      </c>
    </row>
    <row r="17" spans="1:3" hidden="1" x14ac:dyDescent="0.25">
      <c r="A17" t="s">
        <v>25</v>
      </c>
      <c r="B17">
        <v>291</v>
      </c>
      <c r="C17">
        <v>122.06399999999999</v>
      </c>
    </row>
    <row r="18" spans="1:3" hidden="1" x14ac:dyDescent="0.25">
      <c r="A18" t="s">
        <v>27</v>
      </c>
      <c r="B18">
        <v>245</v>
      </c>
      <c r="C18">
        <v>121.86</v>
      </c>
    </row>
    <row r="19" spans="1:3" hidden="1" x14ac:dyDescent="0.25">
      <c r="A19" t="s">
        <v>30</v>
      </c>
      <c r="B19">
        <v>96</v>
      </c>
      <c r="C19">
        <v>122.087</v>
      </c>
    </row>
    <row r="20" spans="1:3" hidden="1" x14ac:dyDescent="0.25">
      <c r="A20" t="s">
        <v>26</v>
      </c>
      <c r="B20">
        <v>58</v>
      </c>
      <c r="C20">
        <v>121.73699999999999</v>
      </c>
    </row>
    <row r="21" spans="1:3" hidden="1" x14ac:dyDescent="0.25">
      <c r="A21" t="s">
        <v>32</v>
      </c>
      <c r="B21">
        <v>20</v>
      </c>
      <c r="C21">
        <v>122.04300000000001</v>
      </c>
    </row>
    <row r="22" spans="1:3" hidden="1" x14ac:dyDescent="0.25">
      <c r="A22" t="s">
        <v>22</v>
      </c>
      <c r="B22">
        <v>-2</v>
      </c>
      <c r="C22">
        <v>122.087</v>
      </c>
    </row>
    <row r="23" spans="1:3" hidden="1" x14ac:dyDescent="0.25">
      <c r="A23" t="s">
        <v>23</v>
      </c>
      <c r="B23">
        <v>-12</v>
      </c>
      <c r="C23">
        <v>121.663</v>
      </c>
    </row>
    <row r="24" spans="1:3" hidden="1" x14ac:dyDescent="0.25">
      <c r="A24" t="s">
        <v>21</v>
      </c>
      <c r="B24">
        <v>-76</v>
      </c>
      <c r="C24">
        <v>122.194</v>
      </c>
    </row>
    <row r="25" spans="1:3" hidden="1" x14ac:dyDescent="0.25">
      <c r="A25" t="s">
        <v>29</v>
      </c>
      <c r="B25">
        <v>-208</v>
      </c>
      <c r="C25">
        <v>121.94</v>
      </c>
    </row>
    <row r="26" spans="1:3" hidden="1" x14ac:dyDescent="0.25">
      <c r="A26" t="s">
        <v>45</v>
      </c>
      <c r="B26">
        <v>-216</v>
      </c>
      <c r="C26">
        <v>122.142</v>
      </c>
    </row>
    <row r="27" spans="1:3" hidden="1" x14ac:dyDescent="0.25">
      <c r="A27" t="s">
        <v>31</v>
      </c>
      <c r="B27">
        <v>-389</v>
      </c>
      <c r="C27">
        <v>122.072</v>
      </c>
    </row>
    <row r="28" spans="1:3" hidden="1" x14ac:dyDescent="0.25">
      <c r="A28" t="s">
        <v>13</v>
      </c>
      <c r="B28">
        <v>-797</v>
      </c>
      <c r="C28">
        <v>121.916</v>
      </c>
    </row>
    <row r="29" spans="1:3" hidden="1" x14ac:dyDescent="0.25">
      <c r="A29" t="s">
        <v>36</v>
      </c>
      <c r="B29">
        <v>-1.1319999999999999</v>
      </c>
      <c r="C29">
        <v>122.01600000000001</v>
      </c>
    </row>
    <row r="30" spans="1:3" hidden="1" x14ac:dyDescent="0.25">
      <c r="A30" t="s">
        <v>34</v>
      </c>
      <c r="B30">
        <v>-1.1439999999999999</v>
      </c>
      <c r="C30">
        <v>122.038</v>
      </c>
    </row>
    <row r="31" spans="1:3" hidden="1" x14ac:dyDescent="0.25">
      <c r="A31" t="s">
        <v>15</v>
      </c>
      <c r="B31">
        <v>-1.478</v>
      </c>
      <c r="C31">
        <v>121.99</v>
      </c>
    </row>
    <row r="32" spans="1:3" hidden="1" x14ac:dyDescent="0.25">
      <c r="A32" t="s">
        <v>16</v>
      </c>
      <c r="B32">
        <v>-1.857</v>
      </c>
      <c r="C32">
        <v>122.02</v>
      </c>
    </row>
    <row r="33" spans="1:3" x14ac:dyDescent="0.25">
      <c r="A33" t="s">
        <v>42</v>
      </c>
      <c r="B33">
        <v>-1.9610000000000001</v>
      </c>
      <c r="C33">
        <v>121.82299999999999</v>
      </c>
    </row>
    <row r="34" spans="1:3" hidden="1" x14ac:dyDescent="0.25">
      <c r="A34" t="s">
        <v>12</v>
      </c>
      <c r="B34">
        <v>-3.2280000000000002</v>
      </c>
      <c r="C34">
        <v>122.123</v>
      </c>
    </row>
    <row r="35" spans="1:3" x14ac:dyDescent="0.25">
      <c r="A35" t="s">
        <v>33</v>
      </c>
      <c r="B35">
        <v>-3.472</v>
      </c>
      <c r="C35">
        <v>122.123</v>
      </c>
    </row>
    <row r="36" spans="1:3" hidden="1" x14ac:dyDescent="0.25">
      <c r="A36" t="s">
        <v>37</v>
      </c>
      <c r="B36">
        <v>-7.6</v>
      </c>
      <c r="C36">
        <v>122.009</v>
      </c>
    </row>
    <row r="37" spans="1:3" hidden="1" x14ac:dyDescent="0.25">
      <c r="A37" t="s">
        <v>43</v>
      </c>
      <c r="B37">
        <v>-8.4860000000000007</v>
      </c>
      <c r="C37">
        <v>121.965</v>
      </c>
    </row>
    <row r="38" spans="1:3" hidden="1" x14ac:dyDescent="0.25">
      <c r="A38" t="s">
        <v>9</v>
      </c>
      <c r="B38">
        <v>-10.302</v>
      </c>
      <c r="C38">
        <v>122.017</v>
      </c>
    </row>
    <row r="39" spans="1:3" hidden="1" x14ac:dyDescent="0.25">
      <c r="A39" t="s">
        <v>35</v>
      </c>
      <c r="B39">
        <v>-11.467000000000001</v>
      </c>
      <c r="C39">
        <v>122.017</v>
      </c>
    </row>
    <row r="40" spans="1:3" hidden="1" x14ac:dyDescent="0.25">
      <c r="A40" t="s">
        <v>11</v>
      </c>
      <c r="B40">
        <v>-13.819000000000001</v>
      </c>
      <c r="C40">
        <v>121.87</v>
      </c>
    </row>
    <row r="41" spans="1:3" hidden="1" x14ac:dyDescent="0.25">
      <c r="A41" t="s">
        <v>39</v>
      </c>
      <c r="B41">
        <v>-24.486000000000001</v>
      </c>
      <c r="C41">
        <v>122.008</v>
      </c>
    </row>
    <row r="42" spans="1:3" x14ac:dyDescent="0.25">
      <c r="B42">
        <f>SUM(B2,B4,B5,B10,B12,B33,B35)</f>
        <v>42.037999999999997</v>
      </c>
    </row>
  </sheetData>
  <autoFilter ref="A1:A41" xr:uid="{A1D8B55C-41AE-43E6-98C2-ED4D3DE092CB}">
    <filterColumn colId="0">
      <filters>
        <filter val="Citigroup"/>
        <filter val="Credit"/>
        <filter val="Goldman"/>
        <filter val="JP Morgan"/>
        <filter val="Merrill"/>
        <filter val="Morgan"/>
        <filter val="Tullett"/>
        <filter val="UBS"/>
      </filters>
    </filterColumn>
  </autoFilter>
  <pageMargins left="0.511811024" right="0.511811024" top="0.78740157499999996" bottom="0.78740157499999996" header="0.31496062000000002" footer="0.3149606200000000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8D444-F383-4DD0-AA3D-5055412418EE}">
  <sheetPr codeName="Planilha4" filterMode="1"/>
  <dimension ref="A1:C43"/>
  <sheetViews>
    <sheetView workbookViewId="0">
      <selection activeCell="B44" sqref="B44"/>
    </sheetView>
  </sheetViews>
  <sheetFormatPr defaultRowHeight="15" x14ac:dyDescent="0.25"/>
  <sheetData>
    <row r="1" spans="1:3" x14ac:dyDescent="0.25">
      <c r="A1" t="s">
        <v>3</v>
      </c>
      <c r="B1" t="s">
        <v>4</v>
      </c>
      <c r="C1" t="s">
        <v>5</v>
      </c>
    </row>
    <row r="2" spans="1:3" hidden="1" x14ac:dyDescent="0.25">
      <c r="A2" t="s">
        <v>9</v>
      </c>
      <c r="B2">
        <v>16.818999999999999</v>
      </c>
      <c r="C2">
        <v>123.039</v>
      </c>
    </row>
    <row r="3" spans="1:3" hidden="1" x14ac:dyDescent="0.25">
      <c r="A3" t="s">
        <v>43</v>
      </c>
      <c r="B3">
        <v>9.5120000000000005</v>
      </c>
      <c r="C3">
        <v>123.03700000000001</v>
      </c>
    </row>
    <row r="4" spans="1:3" hidden="1" x14ac:dyDescent="0.25">
      <c r="A4" t="s">
        <v>11</v>
      </c>
      <c r="B4">
        <v>8.1929999999999996</v>
      </c>
      <c r="C4">
        <v>123.246</v>
      </c>
    </row>
    <row r="5" spans="1:3" hidden="1" x14ac:dyDescent="0.25">
      <c r="A5" t="s">
        <v>34</v>
      </c>
      <c r="B5">
        <v>6.0759999999999996</v>
      </c>
      <c r="C5">
        <v>123.05200000000001</v>
      </c>
    </row>
    <row r="6" spans="1:3" hidden="1" x14ac:dyDescent="0.25">
      <c r="A6" t="s">
        <v>39</v>
      </c>
      <c r="B6">
        <v>5.5190000000000001</v>
      </c>
      <c r="C6">
        <v>122.922</v>
      </c>
    </row>
    <row r="7" spans="1:3" hidden="1" x14ac:dyDescent="0.25">
      <c r="A7" t="s">
        <v>10</v>
      </c>
      <c r="B7">
        <v>5.4470000000000001</v>
      </c>
      <c r="C7">
        <v>123.084</v>
      </c>
    </row>
    <row r="8" spans="1:3" hidden="1" x14ac:dyDescent="0.25">
      <c r="A8" t="s">
        <v>6</v>
      </c>
      <c r="B8">
        <v>5.3520000000000003</v>
      </c>
      <c r="C8">
        <v>123.01300000000001</v>
      </c>
    </row>
    <row r="9" spans="1:3" x14ac:dyDescent="0.25">
      <c r="A9" t="s">
        <v>28</v>
      </c>
      <c r="B9" s="1">
        <v>4925</v>
      </c>
      <c r="C9">
        <v>122.904</v>
      </c>
    </row>
    <row r="10" spans="1:3" hidden="1" x14ac:dyDescent="0.25">
      <c r="A10" t="s">
        <v>25</v>
      </c>
      <c r="B10">
        <v>4.6260000000000003</v>
      </c>
      <c r="C10">
        <v>122.904</v>
      </c>
    </row>
    <row r="11" spans="1:3" hidden="1" x14ac:dyDescent="0.25">
      <c r="A11" t="s">
        <v>37</v>
      </c>
      <c r="B11">
        <v>4.274</v>
      </c>
      <c r="C11">
        <v>123.02500000000001</v>
      </c>
    </row>
    <row r="12" spans="1:3" x14ac:dyDescent="0.25">
      <c r="A12" t="s">
        <v>33</v>
      </c>
      <c r="B12" s="1">
        <v>3483</v>
      </c>
      <c r="C12">
        <v>122.94799999999999</v>
      </c>
    </row>
    <row r="13" spans="1:3" hidden="1" x14ac:dyDescent="0.25">
      <c r="A13" t="s">
        <v>12</v>
      </c>
      <c r="B13">
        <v>3.3090000000000002</v>
      </c>
      <c r="C13">
        <v>122.833</v>
      </c>
    </row>
    <row r="14" spans="1:3" hidden="1" x14ac:dyDescent="0.25">
      <c r="A14" t="s">
        <v>15</v>
      </c>
      <c r="B14">
        <v>2.508</v>
      </c>
      <c r="C14">
        <v>123.229</v>
      </c>
    </row>
    <row r="15" spans="1:3" hidden="1" x14ac:dyDescent="0.25">
      <c r="A15" t="s">
        <v>20</v>
      </c>
      <c r="B15">
        <v>1.7270000000000001</v>
      </c>
      <c r="C15">
        <v>123.107</v>
      </c>
    </row>
    <row r="16" spans="1:3" hidden="1" x14ac:dyDescent="0.25">
      <c r="A16" t="s">
        <v>16</v>
      </c>
      <c r="B16">
        <v>1.7050000000000001</v>
      </c>
      <c r="C16">
        <v>123.02800000000001</v>
      </c>
    </row>
    <row r="17" spans="1:3" hidden="1" x14ac:dyDescent="0.25">
      <c r="A17" t="s">
        <v>36</v>
      </c>
      <c r="B17">
        <v>624</v>
      </c>
      <c r="C17">
        <v>123.03700000000001</v>
      </c>
    </row>
    <row r="18" spans="1:3" hidden="1" x14ac:dyDescent="0.25">
      <c r="A18" t="s">
        <v>29</v>
      </c>
      <c r="B18">
        <v>619</v>
      </c>
      <c r="C18">
        <v>123.01900000000001</v>
      </c>
    </row>
    <row r="19" spans="1:3" hidden="1" x14ac:dyDescent="0.25">
      <c r="A19" t="s">
        <v>21</v>
      </c>
      <c r="B19">
        <v>488</v>
      </c>
      <c r="C19">
        <v>122.983</v>
      </c>
    </row>
    <row r="20" spans="1:3" hidden="1" x14ac:dyDescent="0.25">
      <c r="A20" t="s">
        <v>19</v>
      </c>
      <c r="B20">
        <v>356</v>
      </c>
      <c r="C20">
        <v>122.995</v>
      </c>
    </row>
    <row r="21" spans="1:3" hidden="1" x14ac:dyDescent="0.25">
      <c r="A21" t="s">
        <v>46</v>
      </c>
      <c r="B21">
        <v>205</v>
      </c>
      <c r="C21">
        <v>123.16</v>
      </c>
    </row>
    <row r="22" spans="1:3" x14ac:dyDescent="0.25">
      <c r="A22" t="s">
        <v>42</v>
      </c>
      <c r="B22">
        <v>182</v>
      </c>
      <c r="C22">
        <v>122.899</v>
      </c>
    </row>
    <row r="23" spans="1:3" hidden="1" x14ac:dyDescent="0.25">
      <c r="A23" t="s">
        <v>14</v>
      </c>
      <c r="B23">
        <v>105</v>
      </c>
      <c r="C23">
        <v>123.018</v>
      </c>
    </row>
    <row r="24" spans="1:3" hidden="1" x14ac:dyDescent="0.25">
      <c r="A24" t="s">
        <v>30</v>
      </c>
      <c r="B24">
        <v>63</v>
      </c>
      <c r="C24">
        <v>122.69799999999999</v>
      </c>
    </row>
    <row r="25" spans="1:3" hidden="1" x14ac:dyDescent="0.25">
      <c r="A25" t="s">
        <v>45</v>
      </c>
      <c r="B25">
        <v>50</v>
      </c>
      <c r="C25">
        <v>122.824</v>
      </c>
    </row>
    <row r="26" spans="1:3" hidden="1" x14ac:dyDescent="0.25">
      <c r="A26" t="s">
        <v>26</v>
      </c>
      <c r="B26">
        <v>43</v>
      </c>
      <c r="C26">
        <v>123.155</v>
      </c>
    </row>
    <row r="27" spans="1:3" hidden="1" x14ac:dyDescent="0.25">
      <c r="A27" t="s">
        <v>23</v>
      </c>
      <c r="B27">
        <v>7</v>
      </c>
      <c r="C27">
        <v>123.127</v>
      </c>
    </row>
    <row r="28" spans="1:3" hidden="1" x14ac:dyDescent="0.25">
      <c r="A28" t="s">
        <v>24</v>
      </c>
      <c r="B28">
        <v>5</v>
      </c>
      <c r="C28">
        <v>122.908</v>
      </c>
    </row>
    <row r="29" spans="1:3" hidden="1" x14ac:dyDescent="0.25">
      <c r="A29" t="s">
        <v>32</v>
      </c>
      <c r="B29">
        <v>4</v>
      </c>
      <c r="C29">
        <v>122.947</v>
      </c>
    </row>
    <row r="30" spans="1:3" hidden="1" x14ac:dyDescent="0.25">
      <c r="A30" t="s">
        <v>47</v>
      </c>
      <c r="B30">
        <v>2</v>
      </c>
      <c r="C30">
        <v>123.098</v>
      </c>
    </row>
    <row r="31" spans="1:3" hidden="1" x14ac:dyDescent="0.25">
      <c r="A31" t="s">
        <v>27</v>
      </c>
      <c r="B31">
        <v>-162</v>
      </c>
      <c r="C31">
        <v>123.08499999999999</v>
      </c>
    </row>
    <row r="32" spans="1:3" hidden="1" x14ac:dyDescent="0.25">
      <c r="A32" t="s">
        <v>35</v>
      </c>
      <c r="B32">
        <v>-166</v>
      </c>
      <c r="C32">
        <v>123.03400000000001</v>
      </c>
    </row>
    <row r="33" spans="1:3" hidden="1" x14ac:dyDescent="0.25">
      <c r="A33" t="s">
        <v>31</v>
      </c>
      <c r="B33">
        <v>-178</v>
      </c>
      <c r="C33">
        <v>123.051</v>
      </c>
    </row>
    <row r="34" spans="1:3" hidden="1" x14ac:dyDescent="0.25">
      <c r="A34" t="s">
        <v>38</v>
      </c>
      <c r="B34">
        <v>-1.5920000000000001</v>
      </c>
      <c r="C34">
        <v>123.039</v>
      </c>
    </row>
    <row r="35" spans="1:3" hidden="1" x14ac:dyDescent="0.25">
      <c r="A35" t="s">
        <v>13</v>
      </c>
      <c r="B35">
        <v>-3.2629999999999999</v>
      </c>
      <c r="C35">
        <v>123.026</v>
      </c>
    </row>
    <row r="36" spans="1:3" hidden="1" x14ac:dyDescent="0.25">
      <c r="A36" t="s">
        <v>18</v>
      </c>
      <c r="B36">
        <v>-3.9689999999999999</v>
      </c>
      <c r="C36">
        <v>123.01600000000001</v>
      </c>
    </row>
    <row r="37" spans="1:3" x14ac:dyDescent="0.25">
      <c r="A37" t="s">
        <v>44</v>
      </c>
      <c r="B37" s="1">
        <v>-4365</v>
      </c>
      <c r="C37">
        <v>123.03100000000001</v>
      </c>
    </row>
    <row r="38" spans="1:3" hidden="1" x14ac:dyDescent="0.25">
      <c r="A38" t="s">
        <v>40</v>
      </c>
      <c r="B38">
        <v>-5.2240000000000002</v>
      </c>
      <c r="C38">
        <v>123.01600000000001</v>
      </c>
    </row>
    <row r="39" spans="1:3" x14ac:dyDescent="0.25">
      <c r="A39" t="s">
        <v>17</v>
      </c>
      <c r="B39" s="1">
        <v>-5587</v>
      </c>
      <c r="C39">
        <v>123.02</v>
      </c>
    </row>
    <row r="40" spans="1:3" x14ac:dyDescent="0.25">
      <c r="A40" t="s">
        <v>8</v>
      </c>
      <c r="B40" s="1">
        <v>-10550</v>
      </c>
      <c r="C40">
        <v>123.039</v>
      </c>
    </row>
    <row r="41" spans="1:3" hidden="1" x14ac:dyDescent="0.25">
      <c r="A41" t="s">
        <v>41</v>
      </c>
      <c r="B41">
        <v>-14.262</v>
      </c>
      <c r="C41">
        <v>123.07</v>
      </c>
    </row>
    <row r="42" spans="1:3" x14ac:dyDescent="0.25">
      <c r="A42" t="s">
        <v>7</v>
      </c>
      <c r="B42" s="1">
        <v>-36910</v>
      </c>
      <c r="C42">
        <v>122.85599999999999</v>
      </c>
    </row>
    <row r="43" spans="1:3" x14ac:dyDescent="0.25">
      <c r="B43" s="1">
        <f>SUM(B9,B12,B22,B37,B39,B40,B42)</f>
        <v>-48822</v>
      </c>
    </row>
  </sheetData>
  <autoFilter ref="A1:A42" xr:uid="{9288D444-F383-4DD0-AA3D-5055412418EE}">
    <filterColumn colId="0">
      <filters>
        <filter val="Citigroup"/>
        <filter val="Credit"/>
        <filter val="Goldman"/>
        <filter val="JP Morgan"/>
        <filter val="Merrill"/>
        <filter val="Morgan"/>
        <filter val="Tullett"/>
        <filter val="UBS"/>
      </filters>
    </filterColumn>
  </autoFilter>
  <pageMargins left="0.511811024" right="0.511811024" top="0.78740157499999996" bottom="0.78740157499999996" header="0.31496062000000002" footer="0.3149606200000000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C2BE9-C4C4-4C41-AEA0-4B80183ACBF9}">
  <sheetPr codeName="Planilha5" filterMode="1"/>
  <dimension ref="A1:C41"/>
  <sheetViews>
    <sheetView workbookViewId="0">
      <selection activeCell="B38" sqref="B38"/>
    </sheetView>
  </sheetViews>
  <sheetFormatPr defaultRowHeight="15" x14ac:dyDescent="0.25"/>
  <sheetData>
    <row r="1" spans="1:3" x14ac:dyDescent="0.25">
      <c r="A1" t="s">
        <v>3</v>
      </c>
      <c r="B1" t="s">
        <v>4</v>
      </c>
      <c r="C1" t="s">
        <v>5</v>
      </c>
    </row>
    <row r="2" spans="1:3" hidden="1" x14ac:dyDescent="0.25">
      <c r="A2" t="s">
        <v>6</v>
      </c>
      <c r="B2">
        <v>13.954000000000001</v>
      </c>
      <c r="C2">
        <v>123.024</v>
      </c>
    </row>
    <row r="3" spans="1:3" x14ac:dyDescent="0.25">
      <c r="A3" t="s">
        <v>7</v>
      </c>
      <c r="B3">
        <v>13.276</v>
      </c>
      <c r="C3">
        <v>123.039</v>
      </c>
    </row>
    <row r="4" spans="1:3" x14ac:dyDescent="0.25">
      <c r="A4" t="s">
        <v>8</v>
      </c>
      <c r="B4">
        <v>11.927</v>
      </c>
      <c r="C4">
        <v>123.01300000000001</v>
      </c>
    </row>
    <row r="5" spans="1:3" hidden="1" x14ac:dyDescent="0.25">
      <c r="A5" t="s">
        <v>9</v>
      </c>
      <c r="B5">
        <v>3.7829999999999999</v>
      </c>
      <c r="C5">
        <v>123.01600000000001</v>
      </c>
    </row>
    <row r="6" spans="1:3" hidden="1" x14ac:dyDescent="0.25">
      <c r="A6" t="s">
        <v>10</v>
      </c>
      <c r="B6">
        <v>3.5960000000000001</v>
      </c>
      <c r="C6">
        <v>122.99</v>
      </c>
    </row>
    <row r="7" spans="1:3" hidden="1" x14ac:dyDescent="0.25">
      <c r="A7" t="s">
        <v>11</v>
      </c>
      <c r="B7">
        <v>2.6680000000000001</v>
      </c>
      <c r="C7">
        <v>123.041</v>
      </c>
    </row>
    <row r="8" spans="1:3" hidden="1" x14ac:dyDescent="0.25">
      <c r="A8" t="s">
        <v>12</v>
      </c>
      <c r="B8">
        <v>2.4430000000000001</v>
      </c>
      <c r="C8">
        <v>122.904</v>
      </c>
    </row>
    <row r="9" spans="1:3" hidden="1" x14ac:dyDescent="0.25">
      <c r="A9" t="s">
        <v>13</v>
      </c>
      <c r="B9">
        <v>1.4750000000000001</v>
      </c>
      <c r="C9">
        <v>123.02800000000001</v>
      </c>
    </row>
    <row r="10" spans="1:3" hidden="1" x14ac:dyDescent="0.25">
      <c r="A10" t="s">
        <v>14</v>
      </c>
      <c r="B10">
        <v>1.4379999999999999</v>
      </c>
      <c r="C10">
        <v>123.03</v>
      </c>
    </row>
    <row r="11" spans="1:3" hidden="1" x14ac:dyDescent="0.25">
      <c r="A11" t="s">
        <v>15</v>
      </c>
      <c r="B11">
        <v>1.359</v>
      </c>
      <c r="C11">
        <v>123.014</v>
      </c>
    </row>
    <row r="12" spans="1:3" hidden="1" x14ac:dyDescent="0.25">
      <c r="A12" t="s">
        <v>16</v>
      </c>
      <c r="B12">
        <v>1.125</v>
      </c>
      <c r="C12">
        <v>123.01600000000001</v>
      </c>
    </row>
    <row r="13" spans="1:3" x14ac:dyDescent="0.25">
      <c r="A13" t="s">
        <v>17</v>
      </c>
      <c r="B13">
        <v>8.2100000000000009</v>
      </c>
      <c r="C13">
        <v>123.006</v>
      </c>
    </row>
    <row r="14" spans="1:3" hidden="1" x14ac:dyDescent="0.25">
      <c r="A14" t="s">
        <v>18</v>
      </c>
      <c r="B14">
        <v>544</v>
      </c>
      <c r="C14">
        <v>123.00700000000001</v>
      </c>
    </row>
    <row r="15" spans="1:3" hidden="1" x14ac:dyDescent="0.25">
      <c r="A15" t="s">
        <v>19</v>
      </c>
      <c r="B15">
        <v>398</v>
      </c>
      <c r="C15">
        <v>123.071</v>
      </c>
    </row>
    <row r="16" spans="1:3" hidden="1" x14ac:dyDescent="0.25">
      <c r="A16" t="s">
        <v>20</v>
      </c>
      <c r="B16">
        <v>356</v>
      </c>
      <c r="C16">
        <v>123.005</v>
      </c>
    </row>
    <row r="17" spans="1:3" hidden="1" x14ac:dyDescent="0.25">
      <c r="A17" t="s">
        <v>21</v>
      </c>
      <c r="B17">
        <v>298</v>
      </c>
      <c r="C17">
        <v>122.968</v>
      </c>
    </row>
    <row r="18" spans="1:3" hidden="1" x14ac:dyDescent="0.25">
      <c r="A18" t="s">
        <v>22</v>
      </c>
      <c r="B18">
        <v>16</v>
      </c>
      <c r="C18">
        <v>123.08199999999999</v>
      </c>
    </row>
    <row r="19" spans="1:3" hidden="1" x14ac:dyDescent="0.25">
      <c r="A19" t="s">
        <v>23</v>
      </c>
      <c r="B19">
        <v>11</v>
      </c>
      <c r="C19">
        <v>123.14400000000001</v>
      </c>
    </row>
    <row r="20" spans="1:3" hidden="1" x14ac:dyDescent="0.25">
      <c r="A20" t="s">
        <v>24</v>
      </c>
      <c r="B20">
        <v>4</v>
      </c>
      <c r="C20">
        <v>122.96599999999999</v>
      </c>
    </row>
    <row r="21" spans="1:3" hidden="1" x14ac:dyDescent="0.25">
      <c r="A21" t="s">
        <v>25</v>
      </c>
      <c r="B21">
        <v>-10</v>
      </c>
      <c r="C21">
        <v>122.93</v>
      </c>
    </row>
    <row r="22" spans="1:3" hidden="1" x14ac:dyDescent="0.25">
      <c r="A22" t="s">
        <v>26</v>
      </c>
      <c r="B22">
        <v>-12</v>
      </c>
      <c r="C22">
        <v>122.899</v>
      </c>
    </row>
    <row r="23" spans="1:3" hidden="1" x14ac:dyDescent="0.25">
      <c r="A23" t="s">
        <v>27</v>
      </c>
      <c r="B23">
        <v>-52</v>
      </c>
      <c r="C23">
        <v>123.059</v>
      </c>
    </row>
    <row r="24" spans="1:3" x14ac:dyDescent="0.25">
      <c r="A24" t="s">
        <v>28</v>
      </c>
      <c r="B24">
        <v>-1.2</v>
      </c>
      <c r="C24">
        <v>123.05500000000001</v>
      </c>
    </row>
    <row r="25" spans="1:3" hidden="1" x14ac:dyDescent="0.25">
      <c r="A25" t="s">
        <v>29</v>
      </c>
      <c r="B25">
        <v>-186</v>
      </c>
      <c r="C25">
        <v>122.973</v>
      </c>
    </row>
    <row r="26" spans="1:3" hidden="1" x14ac:dyDescent="0.25">
      <c r="A26" t="s">
        <v>30</v>
      </c>
      <c r="B26">
        <v>-220</v>
      </c>
      <c r="C26">
        <v>122.929</v>
      </c>
    </row>
    <row r="27" spans="1:3" hidden="1" x14ac:dyDescent="0.25">
      <c r="A27" t="s">
        <v>31</v>
      </c>
      <c r="B27">
        <v>-239</v>
      </c>
      <c r="C27">
        <v>122.929</v>
      </c>
    </row>
    <row r="28" spans="1:3" hidden="1" x14ac:dyDescent="0.25">
      <c r="A28" t="s">
        <v>32</v>
      </c>
      <c r="B28">
        <v>-347</v>
      </c>
      <c r="C28">
        <v>122.99299999999999</v>
      </c>
    </row>
    <row r="29" spans="1:3" x14ac:dyDescent="0.25">
      <c r="A29" t="s">
        <v>33</v>
      </c>
      <c r="B29">
        <v>-0.94599999999999995</v>
      </c>
      <c r="C29">
        <v>123.07899999999999</v>
      </c>
    </row>
    <row r="30" spans="1:3" hidden="1" x14ac:dyDescent="0.25">
      <c r="A30" t="s">
        <v>34</v>
      </c>
      <c r="B30">
        <v>-1.3720000000000001</v>
      </c>
      <c r="C30">
        <v>123.006</v>
      </c>
    </row>
    <row r="31" spans="1:3" hidden="1" x14ac:dyDescent="0.25">
      <c r="A31" t="s">
        <v>35</v>
      </c>
      <c r="B31">
        <v>-1.89</v>
      </c>
      <c r="C31">
        <v>123.004</v>
      </c>
    </row>
    <row r="32" spans="1:3" hidden="1" x14ac:dyDescent="0.25">
      <c r="A32" t="s">
        <v>36</v>
      </c>
      <c r="B32">
        <v>-1.907</v>
      </c>
      <c r="C32">
        <v>122.971</v>
      </c>
    </row>
    <row r="33" spans="1:3" hidden="1" x14ac:dyDescent="0.25">
      <c r="A33" t="s">
        <v>37</v>
      </c>
      <c r="B33">
        <v>-2.4159999999999999</v>
      </c>
      <c r="C33">
        <v>122.988</v>
      </c>
    </row>
    <row r="34" spans="1:3" hidden="1" x14ac:dyDescent="0.25">
      <c r="A34" t="s">
        <v>38</v>
      </c>
      <c r="B34">
        <v>-2.5030000000000001</v>
      </c>
      <c r="C34">
        <v>122.991</v>
      </c>
    </row>
    <row r="35" spans="1:3" hidden="1" x14ac:dyDescent="0.25">
      <c r="A35" t="s">
        <v>39</v>
      </c>
      <c r="B35">
        <v>-3.2610000000000001</v>
      </c>
      <c r="C35">
        <v>123.059</v>
      </c>
    </row>
    <row r="36" spans="1:3" hidden="1" x14ac:dyDescent="0.25">
      <c r="A36" t="s">
        <v>40</v>
      </c>
      <c r="B36">
        <v>-3.8109999999999999</v>
      </c>
      <c r="C36">
        <v>123.03</v>
      </c>
    </row>
    <row r="37" spans="1:3" hidden="1" x14ac:dyDescent="0.25">
      <c r="A37" t="s">
        <v>41</v>
      </c>
      <c r="B37">
        <v>-5.85</v>
      </c>
      <c r="C37">
        <v>123.02200000000001</v>
      </c>
    </row>
    <row r="38" spans="1:3" x14ac:dyDescent="0.25">
      <c r="A38" t="s">
        <v>42</v>
      </c>
      <c r="B38">
        <v>-6.4880000000000004</v>
      </c>
      <c r="C38">
        <v>123.117</v>
      </c>
    </row>
    <row r="39" spans="1:3" hidden="1" x14ac:dyDescent="0.25">
      <c r="A39" t="s">
        <v>43</v>
      </c>
      <c r="B39">
        <v>-13.18</v>
      </c>
      <c r="C39">
        <v>123.027</v>
      </c>
    </row>
    <row r="40" spans="1:3" x14ac:dyDescent="0.25">
      <c r="A40" t="s">
        <v>44</v>
      </c>
      <c r="B40">
        <v>-14.682</v>
      </c>
      <c r="C40">
        <v>123.16</v>
      </c>
    </row>
    <row r="41" spans="1:3" x14ac:dyDescent="0.25">
      <c r="B41">
        <f>SUM(B3,B4,B13,B24,B29,B38,B40)</f>
        <v>10.096999999999992</v>
      </c>
    </row>
  </sheetData>
  <autoFilter ref="A1:A40" xr:uid="{103C2BE9-C4C4-4C41-AEA0-4B80183ACBF9}">
    <filterColumn colId="0">
      <filters>
        <filter val="Citigroup"/>
        <filter val="Credit"/>
        <filter val="Goldman"/>
        <filter val="JP Morgan"/>
        <filter val="Merrill"/>
        <filter val="Morgan"/>
        <filter val="Tullett"/>
        <filter val="UBS"/>
      </filters>
    </filterColumn>
  </autoFilter>
  <pageMargins left="0.511811024" right="0.511811024" top="0.78740157499999996" bottom="0.78740157499999996" header="0.31496062000000002" footer="0.3149606200000000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F9B90-FFC9-4F1E-925F-73FB9EFBDEB7}">
  <sheetPr codeName="Planilha6" filterMode="1"/>
  <dimension ref="A1:C43"/>
  <sheetViews>
    <sheetView workbookViewId="0">
      <selection activeCell="B44" sqref="B44"/>
    </sheetView>
  </sheetViews>
  <sheetFormatPr defaultRowHeight="15" x14ac:dyDescent="0.25"/>
  <sheetData>
    <row r="1" spans="1:3" x14ac:dyDescent="0.25">
      <c r="A1" t="s">
        <v>3</v>
      </c>
      <c r="B1" t="s">
        <v>4</v>
      </c>
      <c r="C1" t="s">
        <v>5</v>
      </c>
    </row>
    <row r="2" spans="1:3" x14ac:dyDescent="0.25">
      <c r="A2" t="s">
        <v>7</v>
      </c>
      <c r="B2">
        <v>21.527999999999999</v>
      </c>
      <c r="C2">
        <v>122.48099999999999</v>
      </c>
    </row>
    <row r="3" spans="1:3" hidden="1" x14ac:dyDescent="0.25">
      <c r="A3" t="s">
        <v>41</v>
      </c>
      <c r="B3">
        <v>17.997</v>
      </c>
      <c r="C3">
        <v>122.48</v>
      </c>
    </row>
    <row r="4" spans="1:3" hidden="1" x14ac:dyDescent="0.25">
      <c r="A4" t="s">
        <v>40</v>
      </c>
      <c r="B4">
        <v>16.088999999999999</v>
      </c>
      <c r="C4">
        <v>122.47</v>
      </c>
    </row>
    <row r="5" spans="1:3" x14ac:dyDescent="0.25">
      <c r="A5" t="s">
        <v>17</v>
      </c>
      <c r="B5">
        <v>8.2040000000000006</v>
      </c>
      <c r="C5">
        <v>122.649</v>
      </c>
    </row>
    <row r="6" spans="1:3" x14ac:dyDescent="0.25">
      <c r="A6" t="s">
        <v>8</v>
      </c>
      <c r="B6">
        <v>6.992</v>
      </c>
      <c r="C6">
        <v>122.479</v>
      </c>
    </row>
    <row r="7" spans="1:3" x14ac:dyDescent="0.25">
      <c r="A7" t="s">
        <v>28</v>
      </c>
      <c r="B7">
        <v>5.8920000000000003</v>
      </c>
      <c r="C7">
        <v>122.494</v>
      </c>
    </row>
    <row r="8" spans="1:3" x14ac:dyDescent="0.25">
      <c r="A8" t="s">
        <v>44</v>
      </c>
      <c r="B8">
        <v>3.7919999999999998</v>
      </c>
      <c r="C8">
        <v>122.476</v>
      </c>
    </row>
    <row r="9" spans="1:3" hidden="1" x14ac:dyDescent="0.25">
      <c r="A9" t="s">
        <v>13</v>
      </c>
      <c r="B9">
        <v>2.9039999999999999</v>
      </c>
      <c r="C9">
        <v>122.43899999999999</v>
      </c>
    </row>
    <row r="10" spans="1:3" x14ac:dyDescent="0.25">
      <c r="A10" t="s">
        <v>33</v>
      </c>
      <c r="B10">
        <v>1.905</v>
      </c>
      <c r="C10">
        <v>122.431</v>
      </c>
    </row>
    <row r="11" spans="1:3" hidden="1" x14ac:dyDescent="0.25">
      <c r="A11" t="s">
        <v>36</v>
      </c>
      <c r="B11">
        <v>1.7</v>
      </c>
      <c r="C11">
        <v>122.506</v>
      </c>
    </row>
    <row r="12" spans="1:3" hidden="1" x14ac:dyDescent="0.25">
      <c r="A12" t="s">
        <v>25</v>
      </c>
      <c r="B12">
        <v>1.21</v>
      </c>
      <c r="C12">
        <v>122.902</v>
      </c>
    </row>
    <row r="13" spans="1:3" hidden="1" x14ac:dyDescent="0.25">
      <c r="A13" t="s">
        <v>12</v>
      </c>
      <c r="B13">
        <v>1.2030000000000001</v>
      </c>
      <c r="C13">
        <v>122.643</v>
      </c>
    </row>
    <row r="14" spans="1:3" hidden="1" x14ac:dyDescent="0.25">
      <c r="A14" t="s">
        <v>10</v>
      </c>
      <c r="B14">
        <v>757</v>
      </c>
      <c r="C14">
        <v>122.417</v>
      </c>
    </row>
    <row r="15" spans="1:3" hidden="1" x14ac:dyDescent="0.25">
      <c r="A15" t="s">
        <v>34</v>
      </c>
      <c r="B15">
        <v>734</v>
      </c>
      <c r="C15">
        <v>122.38</v>
      </c>
    </row>
    <row r="16" spans="1:3" hidden="1" x14ac:dyDescent="0.25">
      <c r="A16" t="s">
        <v>19</v>
      </c>
      <c r="B16">
        <v>185</v>
      </c>
      <c r="C16">
        <v>122.611</v>
      </c>
    </row>
    <row r="17" spans="1:3" hidden="1" x14ac:dyDescent="0.25">
      <c r="A17" t="s">
        <v>27</v>
      </c>
      <c r="B17">
        <v>182</v>
      </c>
      <c r="C17">
        <v>122.679</v>
      </c>
    </row>
    <row r="18" spans="1:3" hidden="1" x14ac:dyDescent="0.25">
      <c r="A18" t="s">
        <v>45</v>
      </c>
      <c r="B18">
        <v>78</v>
      </c>
      <c r="C18">
        <v>122.52200000000001</v>
      </c>
    </row>
    <row r="19" spans="1:3" hidden="1" x14ac:dyDescent="0.25">
      <c r="A19" t="s">
        <v>32</v>
      </c>
      <c r="B19">
        <v>-6</v>
      </c>
      <c r="C19">
        <v>122.352</v>
      </c>
    </row>
    <row r="20" spans="1:3" hidden="1" x14ac:dyDescent="0.25">
      <c r="A20" t="s">
        <v>24</v>
      </c>
      <c r="B20">
        <v>-15</v>
      </c>
      <c r="C20">
        <v>122.25</v>
      </c>
    </row>
    <row r="21" spans="1:3" hidden="1" x14ac:dyDescent="0.25">
      <c r="A21" t="s">
        <v>22</v>
      </c>
      <c r="B21">
        <v>-15</v>
      </c>
      <c r="C21">
        <v>122.637</v>
      </c>
    </row>
    <row r="22" spans="1:3" hidden="1" x14ac:dyDescent="0.25">
      <c r="A22" t="s">
        <v>23</v>
      </c>
      <c r="B22">
        <v>-15</v>
      </c>
      <c r="C22">
        <v>122.65</v>
      </c>
    </row>
    <row r="23" spans="1:3" hidden="1" x14ac:dyDescent="0.25">
      <c r="A23" t="s">
        <v>30</v>
      </c>
      <c r="B23">
        <v>-57</v>
      </c>
      <c r="C23">
        <v>122.54600000000001</v>
      </c>
    </row>
    <row r="24" spans="1:3" hidden="1" x14ac:dyDescent="0.25">
      <c r="A24" t="s">
        <v>14</v>
      </c>
      <c r="B24">
        <v>-61</v>
      </c>
      <c r="C24">
        <v>122.751</v>
      </c>
    </row>
    <row r="25" spans="1:3" hidden="1" x14ac:dyDescent="0.25">
      <c r="A25" t="s">
        <v>26</v>
      </c>
      <c r="B25">
        <v>-98</v>
      </c>
      <c r="C25">
        <v>122.191</v>
      </c>
    </row>
    <row r="26" spans="1:3" hidden="1" x14ac:dyDescent="0.25">
      <c r="A26" t="s">
        <v>46</v>
      </c>
      <c r="B26">
        <v>-410</v>
      </c>
      <c r="C26">
        <v>122.423</v>
      </c>
    </row>
    <row r="27" spans="1:3" hidden="1" x14ac:dyDescent="0.25">
      <c r="A27" t="s">
        <v>43</v>
      </c>
      <c r="B27">
        <v>-436</v>
      </c>
      <c r="C27">
        <v>122.401</v>
      </c>
    </row>
    <row r="28" spans="1:3" hidden="1" x14ac:dyDescent="0.25">
      <c r="A28" t="s">
        <v>31</v>
      </c>
      <c r="B28">
        <v>-457</v>
      </c>
      <c r="C28">
        <v>122.334</v>
      </c>
    </row>
    <row r="29" spans="1:3" hidden="1" x14ac:dyDescent="0.25">
      <c r="A29" t="s">
        <v>37</v>
      </c>
      <c r="B29">
        <v>-573</v>
      </c>
      <c r="C29">
        <v>122.47</v>
      </c>
    </row>
    <row r="30" spans="1:3" hidden="1" x14ac:dyDescent="0.25">
      <c r="A30" t="s">
        <v>29</v>
      </c>
      <c r="B30">
        <v>-953</v>
      </c>
      <c r="C30">
        <v>122.33799999999999</v>
      </c>
    </row>
    <row r="31" spans="1:3" hidden="1" x14ac:dyDescent="0.25">
      <c r="A31" t="s">
        <v>20</v>
      </c>
      <c r="B31">
        <v>-1.0169999999999999</v>
      </c>
      <c r="C31">
        <v>122.395</v>
      </c>
    </row>
    <row r="32" spans="1:3" hidden="1" x14ac:dyDescent="0.25">
      <c r="A32" t="s">
        <v>21</v>
      </c>
      <c r="B32">
        <v>-1.0620000000000001</v>
      </c>
      <c r="C32">
        <v>122.392</v>
      </c>
    </row>
    <row r="33" spans="1:3" x14ac:dyDescent="0.25">
      <c r="A33" t="s">
        <v>42</v>
      </c>
      <c r="B33">
        <v>-1.323</v>
      </c>
      <c r="C33">
        <v>122.721</v>
      </c>
    </row>
    <row r="34" spans="1:3" hidden="1" x14ac:dyDescent="0.25">
      <c r="A34" t="s">
        <v>38</v>
      </c>
      <c r="B34">
        <v>-1.367</v>
      </c>
      <c r="C34">
        <v>122.49299999999999</v>
      </c>
    </row>
    <row r="35" spans="1:3" hidden="1" x14ac:dyDescent="0.25">
      <c r="A35" t="s">
        <v>11</v>
      </c>
      <c r="B35">
        <v>-1.4359999999999999</v>
      </c>
      <c r="C35">
        <v>122.203</v>
      </c>
    </row>
    <row r="36" spans="1:3" hidden="1" x14ac:dyDescent="0.25">
      <c r="A36" t="s">
        <v>15</v>
      </c>
      <c r="B36">
        <v>-2.645</v>
      </c>
      <c r="C36">
        <v>122.617</v>
      </c>
    </row>
    <row r="37" spans="1:3" hidden="1" x14ac:dyDescent="0.25">
      <c r="A37" t="s">
        <v>18</v>
      </c>
      <c r="B37">
        <v>-2.6749999999999998</v>
      </c>
      <c r="C37">
        <v>122.52200000000001</v>
      </c>
    </row>
    <row r="38" spans="1:3" hidden="1" x14ac:dyDescent="0.25">
      <c r="A38" t="s">
        <v>16</v>
      </c>
      <c r="B38">
        <v>-4.0419999999999998</v>
      </c>
      <c r="C38">
        <v>122.5</v>
      </c>
    </row>
    <row r="39" spans="1:3" hidden="1" x14ac:dyDescent="0.25">
      <c r="A39" t="s">
        <v>35</v>
      </c>
      <c r="B39">
        <v>-8.2230000000000008</v>
      </c>
      <c r="C39">
        <v>122.508</v>
      </c>
    </row>
    <row r="40" spans="1:3" hidden="1" x14ac:dyDescent="0.25">
      <c r="A40" t="s">
        <v>39</v>
      </c>
      <c r="B40">
        <v>-12.853</v>
      </c>
      <c r="C40">
        <v>122.432</v>
      </c>
    </row>
    <row r="41" spans="1:3" hidden="1" x14ac:dyDescent="0.25">
      <c r="A41" t="s">
        <v>9</v>
      </c>
      <c r="B41">
        <v>-25.009</v>
      </c>
      <c r="C41">
        <v>122.506</v>
      </c>
    </row>
    <row r="42" spans="1:3" hidden="1" x14ac:dyDescent="0.25">
      <c r="A42" t="s">
        <v>6</v>
      </c>
      <c r="B42">
        <v>-26.603999999999999</v>
      </c>
      <c r="C42">
        <v>122.47499999999999</v>
      </c>
    </row>
    <row r="43" spans="1:3" x14ac:dyDescent="0.25">
      <c r="B43">
        <f>SUM(B2,B5,B6,B7,B8,B10,B33)</f>
        <v>46.99</v>
      </c>
    </row>
  </sheetData>
  <autoFilter ref="A1:A42" xr:uid="{95BF9B90-FFC9-4F1E-925F-73FB9EFBDEB7}">
    <filterColumn colId="0">
      <filters>
        <filter val="Citigroup"/>
        <filter val="Credit"/>
        <filter val="Goldman"/>
        <filter val="JP Morgan"/>
        <filter val="Merrill"/>
        <filter val="Morgan"/>
        <filter val="Tullett"/>
        <filter val="UBS"/>
      </filters>
    </filterColumn>
  </autoFilter>
  <pageMargins left="0.511811024" right="0.511811024" top="0.78740157499999996" bottom="0.78740157499999996" header="0.31496062000000002" footer="0.3149606200000000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FD6AB-C0BC-4D99-BD10-59A22D5472C4}">
  <sheetPr codeName="Planilha7" filterMode="1"/>
  <dimension ref="A1:C43"/>
  <sheetViews>
    <sheetView workbookViewId="0">
      <selection activeCell="B2" sqref="B2"/>
    </sheetView>
  </sheetViews>
  <sheetFormatPr defaultRowHeight="15" x14ac:dyDescent="0.25"/>
  <sheetData>
    <row r="1" spans="1:3" x14ac:dyDescent="0.25">
      <c r="A1" t="s">
        <v>3</v>
      </c>
      <c r="B1" t="s">
        <v>4</v>
      </c>
      <c r="C1" t="s">
        <v>5</v>
      </c>
    </row>
    <row r="2" spans="1:3" x14ac:dyDescent="0.25">
      <c r="A2" t="s">
        <v>44</v>
      </c>
      <c r="B2">
        <v>26.02</v>
      </c>
      <c r="C2">
        <v>122.864</v>
      </c>
    </row>
    <row r="3" spans="1:3" hidden="1" x14ac:dyDescent="0.25">
      <c r="A3" t="s">
        <v>40</v>
      </c>
      <c r="B3">
        <v>14.67</v>
      </c>
      <c r="C3">
        <v>122.66200000000001</v>
      </c>
    </row>
    <row r="4" spans="1:3" hidden="1" x14ac:dyDescent="0.25">
      <c r="A4" t="s">
        <v>9</v>
      </c>
      <c r="B4">
        <v>11.346</v>
      </c>
      <c r="C4">
        <v>122.70399999999999</v>
      </c>
    </row>
    <row r="5" spans="1:3" hidden="1" x14ac:dyDescent="0.25">
      <c r="A5" t="s">
        <v>10</v>
      </c>
      <c r="B5">
        <v>9.2840000000000007</v>
      </c>
      <c r="C5">
        <v>122.767</v>
      </c>
    </row>
    <row r="6" spans="1:3" x14ac:dyDescent="0.25">
      <c r="A6" t="s">
        <v>7</v>
      </c>
      <c r="B6">
        <v>4.67</v>
      </c>
      <c r="C6">
        <v>122.48699999999999</v>
      </c>
    </row>
    <row r="7" spans="1:3" x14ac:dyDescent="0.25">
      <c r="A7" t="s">
        <v>33</v>
      </c>
      <c r="B7">
        <v>4.4160000000000004</v>
      </c>
      <c r="C7">
        <v>122.515</v>
      </c>
    </row>
    <row r="8" spans="1:3" hidden="1" x14ac:dyDescent="0.25">
      <c r="A8" t="s">
        <v>34</v>
      </c>
      <c r="B8">
        <v>4.3579999999999997</v>
      </c>
      <c r="C8">
        <v>122.733</v>
      </c>
    </row>
    <row r="9" spans="1:3" hidden="1" x14ac:dyDescent="0.25">
      <c r="A9" t="s">
        <v>25</v>
      </c>
      <c r="B9">
        <v>4.2469999999999999</v>
      </c>
      <c r="C9">
        <v>122.343</v>
      </c>
    </row>
    <row r="10" spans="1:3" hidden="1" x14ac:dyDescent="0.25">
      <c r="A10" t="s">
        <v>39</v>
      </c>
      <c r="B10">
        <v>3.1259999999999999</v>
      </c>
      <c r="C10">
        <v>122.367</v>
      </c>
    </row>
    <row r="11" spans="1:3" hidden="1" x14ac:dyDescent="0.25">
      <c r="A11" t="s">
        <v>37</v>
      </c>
      <c r="B11">
        <v>3.1110000000000002</v>
      </c>
      <c r="C11">
        <v>122.69499999999999</v>
      </c>
    </row>
    <row r="12" spans="1:3" hidden="1" x14ac:dyDescent="0.25">
      <c r="A12" t="s">
        <v>18</v>
      </c>
      <c r="B12">
        <v>1.865</v>
      </c>
      <c r="C12">
        <v>122.661</v>
      </c>
    </row>
    <row r="13" spans="1:3" hidden="1" x14ac:dyDescent="0.25">
      <c r="A13" t="s">
        <v>35</v>
      </c>
      <c r="B13">
        <v>1.7430000000000001</v>
      </c>
      <c r="C13">
        <v>122.71</v>
      </c>
    </row>
    <row r="14" spans="1:3" hidden="1" x14ac:dyDescent="0.25">
      <c r="A14" t="s">
        <v>16</v>
      </c>
      <c r="B14">
        <v>1.605</v>
      </c>
      <c r="C14">
        <v>122.68300000000001</v>
      </c>
    </row>
    <row r="15" spans="1:3" hidden="1" x14ac:dyDescent="0.25">
      <c r="A15" t="s">
        <v>15</v>
      </c>
      <c r="B15">
        <v>1.022</v>
      </c>
      <c r="C15">
        <v>122.771</v>
      </c>
    </row>
    <row r="16" spans="1:3" hidden="1" x14ac:dyDescent="0.25">
      <c r="A16" t="s">
        <v>43</v>
      </c>
      <c r="B16">
        <v>842</v>
      </c>
      <c r="C16">
        <v>122.532</v>
      </c>
    </row>
    <row r="17" spans="1:3" hidden="1" x14ac:dyDescent="0.25">
      <c r="A17" t="s">
        <v>19</v>
      </c>
      <c r="B17">
        <v>395</v>
      </c>
      <c r="C17">
        <v>122.503</v>
      </c>
    </row>
    <row r="18" spans="1:3" hidden="1" x14ac:dyDescent="0.25">
      <c r="A18" t="s">
        <v>29</v>
      </c>
      <c r="B18">
        <v>348</v>
      </c>
      <c r="C18">
        <v>122.824</v>
      </c>
    </row>
    <row r="19" spans="1:3" hidden="1" x14ac:dyDescent="0.25">
      <c r="A19" t="s">
        <v>41</v>
      </c>
      <c r="B19">
        <v>296</v>
      </c>
      <c r="C19">
        <v>122.744</v>
      </c>
    </row>
    <row r="20" spans="1:3" hidden="1" x14ac:dyDescent="0.25">
      <c r="A20" t="s">
        <v>46</v>
      </c>
      <c r="B20">
        <v>215</v>
      </c>
      <c r="C20">
        <v>121.79</v>
      </c>
    </row>
    <row r="21" spans="1:3" hidden="1" x14ac:dyDescent="0.25">
      <c r="A21" t="s">
        <v>12</v>
      </c>
      <c r="B21">
        <v>207</v>
      </c>
      <c r="C21">
        <v>122.611</v>
      </c>
    </row>
    <row r="22" spans="1:3" hidden="1" x14ac:dyDescent="0.25">
      <c r="A22" t="s">
        <v>21</v>
      </c>
      <c r="B22">
        <v>71</v>
      </c>
      <c r="C22">
        <v>122.92</v>
      </c>
    </row>
    <row r="23" spans="1:3" hidden="1" x14ac:dyDescent="0.25">
      <c r="A23" t="s">
        <v>45</v>
      </c>
      <c r="B23">
        <v>45</v>
      </c>
      <c r="C23">
        <v>122.54300000000001</v>
      </c>
    </row>
    <row r="24" spans="1:3" hidden="1" x14ac:dyDescent="0.25">
      <c r="A24" t="s">
        <v>22</v>
      </c>
      <c r="B24">
        <v>10</v>
      </c>
      <c r="C24">
        <v>122.73</v>
      </c>
    </row>
    <row r="25" spans="1:3" hidden="1" x14ac:dyDescent="0.25">
      <c r="A25" t="s">
        <v>23</v>
      </c>
      <c r="B25">
        <v>10</v>
      </c>
      <c r="C25">
        <v>121.958</v>
      </c>
    </row>
    <row r="26" spans="1:3" hidden="1" x14ac:dyDescent="0.25">
      <c r="A26" t="s">
        <v>24</v>
      </c>
      <c r="B26">
        <v>7</v>
      </c>
      <c r="C26">
        <v>121.88</v>
      </c>
    </row>
    <row r="27" spans="1:3" hidden="1" x14ac:dyDescent="0.25">
      <c r="A27" t="s">
        <v>30</v>
      </c>
      <c r="B27">
        <v>5</v>
      </c>
      <c r="C27">
        <v>122.565</v>
      </c>
    </row>
    <row r="28" spans="1:3" hidden="1" x14ac:dyDescent="0.25">
      <c r="A28" t="s">
        <v>32</v>
      </c>
      <c r="B28">
        <v>1</v>
      </c>
      <c r="C28">
        <v>122.562</v>
      </c>
    </row>
    <row r="29" spans="1:3" hidden="1" x14ac:dyDescent="0.25">
      <c r="A29" t="s">
        <v>27</v>
      </c>
      <c r="B29">
        <v>-23</v>
      </c>
      <c r="C29">
        <v>122.527</v>
      </c>
    </row>
    <row r="30" spans="1:3" hidden="1" x14ac:dyDescent="0.25">
      <c r="A30" t="s">
        <v>26</v>
      </c>
      <c r="B30">
        <v>-130</v>
      </c>
      <c r="C30">
        <v>122.306</v>
      </c>
    </row>
    <row r="31" spans="1:3" hidden="1" x14ac:dyDescent="0.25">
      <c r="A31" t="s">
        <v>31</v>
      </c>
      <c r="B31">
        <v>-154</v>
      </c>
      <c r="C31">
        <v>122.825</v>
      </c>
    </row>
    <row r="32" spans="1:3" hidden="1" x14ac:dyDescent="0.25">
      <c r="A32" t="s">
        <v>38</v>
      </c>
      <c r="B32">
        <v>-234</v>
      </c>
      <c r="C32">
        <v>122.779</v>
      </c>
    </row>
    <row r="33" spans="1:3" hidden="1" x14ac:dyDescent="0.25">
      <c r="A33" t="s">
        <v>36</v>
      </c>
      <c r="B33">
        <v>-1.3080000000000001</v>
      </c>
      <c r="C33">
        <v>122.61199999999999</v>
      </c>
    </row>
    <row r="34" spans="1:3" hidden="1" x14ac:dyDescent="0.25">
      <c r="A34" t="s">
        <v>14</v>
      </c>
      <c r="B34">
        <v>-1.3129999999999999</v>
      </c>
      <c r="C34">
        <v>122.479</v>
      </c>
    </row>
    <row r="35" spans="1:3" x14ac:dyDescent="0.25">
      <c r="A35" t="s">
        <v>8</v>
      </c>
      <c r="B35">
        <v>-1.5249999999999999</v>
      </c>
      <c r="C35">
        <v>122.70099999999999</v>
      </c>
    </row>
    <row r="36" spans="1:3" x14ac:dyDescent="0.25">
      <c r="A36" t="s">
        <v>17</v>
      </c>
      <c r="B36">
        <v>-1.762</v>
      </c>
      <c r="C36">
        <v>122.693</v>
      </c>
    </row>
    <row r="37" spans="1:3" hidden="1" x14ac:dyDescent="0.25">
      <c r="A37" t="s">
        <v>11</v>
      </c>
      <c r="B37">
        <v>-2.68</v>
      </c>
      <c r="C37">
        <v>122.58199999999999</v>
      </c>
    </row>
    <row r="38" spans="1:3" hidden="1" x14ac:dyDescent="0.25">
      <c r="A38" t="s">
        <v>20</v>
      </c>
      <c r="B38">
        <v>-3.8530000000000002</v>
      </c>
      <c r="C38">
        <v>122.84699999999999</v>
      </c>
    </row>
    <row r="39" spans="1:3" x14ac:dyDescent="0.25">
      <c r="A39" t="s">
        <v>28</v>
      </c>
      <c r="B39">
        <v>-11.269</v>
      </c>
      <c r="C39">
        <v>122.77800000000001</v>
      </c>
    </row>
    <row r="40" spans="1:3" hidden="1" x14ac:dyDescent="0.25">
      <c r="A40" t="s">
        <v>13</v>
      </c>
      <c r="B40">
        <v>-16.658999999999999</v>
      </c>
      <c r="C40">
        <v>122.764</v>
      </c>
    </row>
    <row r="41" spans="1:3" x14ac:dyDescent="0.25">
      <c r="A41" t="s">
        <v>42</v>
      </c>
      <c r="B41">
        <v>-16.873999999999999</v>
      </c>
      <c r="C41">
        <v>122.65300000000001</v>
      </c>
    </row>
    <row r="42" spans="1:3" hidden="1" x14ac:dyDescent="0.25">
      <c r="A42" t="s">
        <v>6</v>
      </c>
      <c r="B42">
        <v>-36.151000000000003</v>
      </c>
      <c r="C42">
        <v>122.66</v>
      </c>
    </row>
    <row r="43" spans="1:3" x14ac:dyDescent="0.25">
      <c r="B43">
        <f>SUM(B2,B6,B7,B35,B36,B39,B41)</f>
        <v>3.6759999999999984</v>
      </c>
    </row>
  </sheetData>
  <autoFilter ref="A1:A42" xr:uid="{EEBFD6AB-C0BC-4D99-BD10-59A22D5472C4}">
    <filterColumn colId="0">
      <filters>
        <filter val="Citigroup"/>
        <filter val="Credit"/>
        <filter val="Goldman"/>
        <filter val="JP Morgan"/>
        <filter val="Merrill"/>
        <filter val="Morgan"/>
        <filter val="Tullett"/>
        <filter val="UBS"/>
      </filters>
    </filterColumn>
  </autoFilter>
  <pageMargins left="0.511811024" right="0.511811024" top="0.78740157499999996" bottom="0.78740157499999996" header="0.31496062000000002" footer="0.3149606200000000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E06A6-D2EF-4B77-AD9A-DD944D2D54CE}">
  <sheetPr codeName="Planilha8" filterMode="1"/>
  <dimension ref="A1:C42"/>
  <sheetViews>
    <sheetView workbookViewId="0">
      <selection activeCell="B38" sqref="B38"/>
    </sheetView>
  </sheetViews>
  <sheetFormatPr defaultRowHeight="15" x14ac:dyDescent="0.25"/>
  <sheetData>
    <row r="1" spans="1:3" x14ac:dyDescent="0.25">
      <c r="A1" t="s">
        <v>3</v>
      </c>
      <c r="B1" t="s">
        <v>4</v>
      </c>
      <c r="C1" t="s">
        <v>5</v>
      </c>
    </row>
    <row r="2" spans="1:3" hidden="1" x14ac:dyDescent="0.25">
      <c r="A2" t="s">
        <v>40</v>
      </c>
      <c r="B2">
        <v>25.510999999999999</v>
      </c>
      <c r="C2">
        <v>122.384</v>
      </c>
    </row>
    <row r="3" spans="1:3" hidden="1" x14ac:dyDescent="0.25">
      <c r="A3" t="s">
        <v>6</v>
      </c>
      <c r="B3">
        <v>19.635999999999999</v>
      </c>
      <c r="C3">
        <v>122.331</v>
      </c>
    </row>
    <row r="4" spans="1:3" x14ac:dyDescent="0.25">
      <c r="A4" t="s">
        <v>44</v>
      </c>
      <c r="B4">
        <v>14.458</v>
      </c>
      <c r="C4">
        <v>122.129</v>
      </c>
    </row>
    <row r="5" spans="1:3" hidden="1" x14ac:dyDescent="0.25">
      <c r="A5" t="s">
        <v>9</v>
      </c>
      <c r="B5">
        <v>10.847</v>
      </c>
      <c r="C5">
        <v>122.345</v>
      </c>
    </row>
    <row r="6" spans="1:3" x14ac:dyDescent="0.25">
      <c r="A6" t="s">
        <v>33</v>
      </c>
      <c r="B6">
        <v>4.6550000000000002</v>
      </c>
      <c r="C6">
        <v>122.15900000000001</v>
      </c>
    </row>
    <row r="7" spans="1:3" hidden="1" x14ac:dyDescent="0.25">
      <c r="A7" t="s">
        <v>35</v>
      </c>
      <c r="B7">
        <v>3.5579999999999998</v>
      </c>
      <c r="C7">
        <v>122.371</v>
      </c>
    </row>
    <row r="8" spans="1:3" hidden="1" x14ac:dyDescent="0.25">
      <c r="A8" t="s">
        <v>10</v>
      </c>
      <c r="B8">
        <v>3.4950000000000001</v>
      </c>
      <c r="C8">
        <v>122.438</v>
      </c>
    </row>
    <row r="9" spans="1:3" hidden="1" x14ac:dyDescent="0.25">
      <c r="A9" t="s">
        <v>13</v>
      </c>
      <c r="B9">
        <v>2.266</v>
      </c>
      <c r="C9">
        <v>122.3</v>
      </c>
    </row>
    <row r="10" spans="1:3" hidden="1" x14ac:dyDescent="0.25">
      <c r="A10" t="s">
        <v>41</v>
      </c>
      <c r="B10">
        <v>2.226</v>
      </c>
      <c r="C10">
        <v>122.298</v>
      </c>
    </row>
    <row r="11" spans="1:3" hidden="1" x14ac:dyDescent="0.25">
      <c r="A11" t="s">
        <v>25</v>
      </c>
      <c r="B11">
        <v>1.9530000000000001</v>
      </c>
      <c r="C11">
        <v>122.081</v>
      </c>
    </row>
    <row r="12" spans="1:3" hidden="1" x14ac:dyDescent="0.25">
      <c r="A12" t="s">
        <v>15</v>
      </c>
      <c r="B12">
        <v>1.9330000000000001</v>
      </c>
      <c r="C12">
        <v>122.52800000000001</v>
      </c>
    </row>
    <row r="13" spans="1:3" hidden="1" x14ac:dyDescent="0.25">
      <c r="A13" t="s">
        <v>16</v>
      </c>
      <c r="B13">
        <v>1.71</v>
      </c>
      <c r="C13">
        <v>122.364</v>
      </c>
    </row>
    <row r="14" spans="1:3" hidden="1" x14ac:dyDescent="0.25">
      <c r="A14" t="s">
        <v>12</v>
      </c>
      <c r="B14">
        <v>768</v>
      </c>
      <c r="C14">
        <v>122.059</v>
      </c>
    </row>
    <row r="15" spans="1:3" hidden="1" x14ac:dyDescent="0.25">
      <c r="A15" t="s">
        <v>21</v>
      </c>
      <c r="B15">
        <v>705</v>
      </c>
      <c r="C15">
        <v>122.315</v>
      </c>
    </row>
    <row r="16" spans="1:3" hidden="1" x14ac:dyDescent="0.25">
      <c r="A16" t="s">
        <v>38</v>
      </c>
      <c r="B16">
        <v>381</v>
      </c>
      <c r="C16">
        <v>122.37</v>
      </c>
    </row>
    <row r="17" spans="1:3" hidden="1" x14ac:dyDescent="0.25">
      <c r="A17" t="s">
        <v>19</v>
      </c>
      <c r="B17">
        <v>337</v>
      </c>
      <c r="C17">
        <v>122.3</v>
      </c>
    </row>
    <row r="18" spans="1:3" hidden="1" x14ac:dyDescent="0.25">
      <c r="A18" t="s">
        <v>30</v>
      </c>
      <c r="B18">
        <v>192</v>
      </c>
      <c r="C18">
        <v>122.068</v>
      </c>
    </row>
    <row r="19" spans="1:3" hidden="1" x14ac:dyDescent="0.25">
      <c r="A19" t="s">
        <v>26</v>
      </c>
      <c r="B19">
        <v>171</v>
      </c>
      <c r="C19">
        <v>122.33</v>
      </c>
    </row>
    <row r="20" spans="1:3" hidden="1" x14ac:dyDescent="0.25">
      <c r="A20" t="s">
        <v>46</v>
      </c>
      <c r="B20">
        <v>126</v>
      </c>
      <c r="C20">
        <v>122.208</v>
      </c>
    </row>
    <row r="21" spans="1:3" hidden="1" x14ac:dyDescent="0.25">
      <c r="A21" t="s">
        <v>34</v>
      </c>
      <c r="B21">
        <v>123</v>
      </c>
      <c r="C21">
        <v>122.377</v>
      </c>
    </row>
    <row r="22" spans="1:3" hidden="1" x14ac:dyDescent="0.25">
      <c r="A22" t="s">
        <v>27</v>
      </c>
      <c r="B22">
        <v>32</v>
      </c>
      <c r="C22">
        <v>122.462</v>
      </c>
    </row>
    <row r="23" spans="1:3" hidden="1" x14ac:dyDescent="0.25">
      <c r="A23" t="s">
        <v>24</v>
      </c>
      <c r="B23">
        <v>8</v>
      </c>
      <c r="C23">
        <v>122.20699999999999</v>
      </c>
    </row>
    <row r="24" spans="1:3" hidden="1" x14ac:dyDescent="0.25">
      <c r="A24" t="s">
        <v>32</v>
      </c>
      <c r="B24">
        <v>-30</v>
      </c>
      <c r="C24">
        <v>122.15300000000001</v>
      </c>
    </row>
    <row r="25" spans="1:3" hidden="1" x14ac:dyDescent="0.25">
      <c r="A25" t="s">
        <v>14</v>
      </c>
      <c r="B25">
        <v>-54</v>
      </c>
      <c r="C25">
        <v>122.328</v>
      </c>
    </row>
    <row r="26" spans="1:3" hidden="1" x14ac:dyDescent="0.25">
      <c r="A26" t="s">
        <v>37</v>
      </c>
      <c r="B26">
        <v>-116</v>
      </c>
      <c r="C26">
        <v>122.376</v>
      </c>
    </row>
    <row r="27" spans="1:3" hidden="1" x14ac:dyDescent="0.25">
      <c r="A27" t="s">
        <v>45</v>
      </c>
      <c r="B27">
        <v>-126</v>
      </c>
      <c r="C27">
        <v>121.97499999999999</v>
      </c>
    </row>
    <row r="28" spans="1:3" hidden="1" x14ac:dyDescent="0.25">
      <c r="A28" t="s">
        <v>31</v>
      </c>
      <c r="B28">
        <v>-154</v>
      </c>
      <c r="C28">
        <v>122.422</v>
      </c>
    </row>
    <row r="29" spans="1:3" hidden="1" x14ac:dyDescent="0.25">
      <c r="A29" t="s">
        <v>29</v>
      </c>
      <c r="B29">
        <v>-218</v>
      </c>
      <c r="C29">
        <v>122.503</v>
      </c>
    </row>
    <row r="30" spans="1:3" x14ac:dyDescent="0.25">
      <c r="A30" t="s">
        <v>42</v>
      </c>
      <c r="B30">
        <v>-2.7</v>
      </c>
      <c r="C30">
        <v>122.20099999999999</v>
      </c>
    </row>
    <row r="31" spans="1:3" hidden="1" x14ac:dyDescent="0.25">
      <c r="A31" t="s">
        <v>11</v>
      </c>
      <c r="B31">
        <v>-511</v>
      </c>
      <c r="C31">
        <v>122.733</v>
      </c>
    </row>
    <row r="32" spans="1:3" hidden="1" x14ac:dyDescent="0.25">
      <c r="A32" t="s">
        <v>20</v>
      </c>
      <c r="B32">
        <v>-683</v>
      </c>
      <c r="C32">
        <v>122.34</v>
      </c>
    </row>
    <row r="33" spans="1:3" hidden="1" x14ac:dyDescent="0.25">
      <c r="A33" t="s">
        <v>18</v>
      </c>
      <c r="B33">
        <v>-2.0139999999999998</v>
      </c>
      <c r="C33">
        <v>122.374</v>
      </c>
    </row>
    <row r="34" spans="1:3" hidden="1" x14ac:dyDescent="0.25">
      <c r="A34" t="s">
        <v>36</v>
      </c>
      <c r="B34">
        <v>-2.2709999999999999</v>
      </c>
      <c r="C34">
        <v>122.401</v>
      </c>
    </row>
    <row r="35" spans="1:3" hidden="1" x14ac:dyDescent="0.25">
      <c r="A35" t="s">
        <v>43</v>
      </c>
      <c r="B35">
        <v>-3.04</v>
      </c>
      <c r="C35">
        <v>122.488</v>
      </c>
    </row>
    <row r="36" spans="1:3" hidden="1" x14ac:dyDescent="0.25">
      <c r="A36" t="s">
        <v>23</v>
      </c>
      <c r="B36">
        <v>-3.9940000000000002</v>
      </c>
      <c r="C36">
        <v>122.202</v>
      </c>
    </row>
    <row r="37" spans="1:3" hidden="1" x14ac:dyDescent="0.25">
      <c r="A37" t="s">
        <v>39</v>
      </c>
      <c r="B37">
        <v>-7.468</v>
      </c>
      <c r="C37">
        <v>122.268</v>
      </c>
    </row>
    <row r="38" spans="1:3" x14ac:dyDescent="0.25">
      <c r="A38" t="s">
        <v>17</v>
      </c>
      <c r="B38">
        <v>-7.798</v>
      </c>
      <c r="C38">
        <v>122.283</v>
      </c>
    </row>
    <row r="39" spans="1:3" x14ac:dyDescent="0.25">
      <c r="A39" t="s">
        <v>8</v>
      </c>
      <c r="B39">
        <v>-14.388</v>
      </c>
      <c r="C39">
        <v>122.336</v>
      </c>
    </row>
    <row r="40" spans="1:3" x14ac:dyDescent="0.25">
      <c r="A40" t="s">
        <v>7</v>
      </c>
      <c r="B40">
        <v>-24.364000000000001</v>
      </c>
      <c r="C40">
        <v>122.205</v>
      </c>
    </row>
    <row r="41" spans="1:3" x14ac:dyDescent="0.25">
      <c r="A41" t="s">
        <v>28</v>
      </c>
      <c r="B41">
        <v>-27.591999999999999</v>
      </c>
      <c r="C41">
        <v>122.38500000000001</v>
      </c>
    </row>
    <row r="42" spans="1:3" x14ac:dyDescent="0.25">
      <c r="B42">
        <f>SUM(B4,B6,B30,B38,B39,B41,B40)</f>
        <v>-57.728999999999999</v>
      </c>
    </row>
  </sheetData>
  <autoFilter ref="A1:A41" xr:uid="{4E3E06A6-D2EF-4B77-AD9A-DD944D2D54CE}">
    <filterColumn colId="0">
      <filters>
        <filter val="Citigroup"/>
        <filter val="Credit"/>
        <filter val="Goldman"/>
        <filter val="JP Morgan"/>
        <filter val="Merrill"/>
        <filter val="Morgan"/>
        <filter val="Tullett"/>
        <filter val="UBS"/>
      </filters>
    </filterColumn>
  </autoFilter>
  <pageMargins left="0.511811024" right="0.511811024" top="0.78740157499999996" bottom="0.78740157499999996" header="0.31496062000000002" footer="0.3149606200000000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DAAA0-3F20-404A-B238-3A76F7B645FC}">
  <sheetPr codeName="Planilha9" filterMode="1"/>
  <dimension ref="A1:C43"/>
  <sheetViews>
    <sheetView workbookViewId="0">
      <selection activeCell="B44" sqref="B44"/>
    </sheetView>
  </sheetViews>
  <sheetFormatPr defaultRowHeight="15" x14ac:dyDescent="0.25"/>
  <sheetData>
    <row r="1" spans="1:3" x14ac:dyDescent="0.25">
      <c r="A1" t="s">
        <v>3</v>
      </c>
      <c r="B1" t="s">
        <v>4</v>
      </c>
      <c r="C1" t="s">
        <v>5</v>
      </c>
    </row>
    <row r="2" spans="1:3" x14ac:dyDescent="0.25">
      <c r="A2" t="s">
        <v>7</v>
      </c>
      <c r="B2">
        <v>17.027999999999999</v>
      </c>
      <c r="C2">
        <v>122.554</v>
      </c>
    </row>
    <row r="3" spans="1:3" x14ac:dyDescent="0.25">
      <c r="A3" t="s">
        <v>44</v>
      </c>
      <c r="B3">
        <v>15.42</v>
      </c>
      <c r="C3">
        <v>122.60599999999999</v>
      </c>
    </row>
    <row r="4" spans="1:3" hidden="1" x14ac:dyDescent="0.25">
      <c r="A4" t="s">
        <v>40</v>
      </c>
      <c r="B4">
        <v>13.388</v>
      </c>
      <c r="C4">
        <v>122.66500000000001</v>
      </c>
    </row>
    <row r="5" spans="1:3" hidden="1" x14ac:dyDescent="0.25">
      <c r="A5" t="s">
        <v>10</v>
      </c>
      <c r="B5">
        <v>11.186999999999999</v>
      </c>
      <c r="C5">
        <v>122.60599999999999</v>
      </c>
    </row>
    <row r="6" spans="1:3" x14ac:dyDescent="0.25">
      <c r="A6" t="s">
        <v>17</v>
      </c>
      <c r="B6">
        <v>5.883</v>
      </c>
      <c r="C6">
        <v>122.497</v>
      </c>
    </row>
    <row r="7" spans="1:3" hidden="1" x14ac:dyDescent="0.25">
      <c r="A7" t="s">
        <v>23</v>
      </c>
      <c r="B7">
        <v>4.0010000000000003</v>
      </c>
      <c r="C7">
        <v>122.768</v>
      </c>
    </row>
    <row r="8" spans="1:3" hidden="1" x14ac:dyDescent="0.25">
      <c r="A8" t="s">
        <v>6</v>
      </c>
      <c r="B8">
        <v>3.9510000000000001</v>
      </c>
      <c r="C8">
        <v>122.527</v>
      </c>
    </row>
    <row r="9" spans="1:3" hidden="1" x14ac:dyDescent="0.25">
      <c r="A9" t="s">
        <v>43</v>
      </c>
      <c r="B9">
        <v>3.4319999999999999</v>
      </c>
      <c r="C9">
        <v>122.72499999999999</v>
      </c>
    </row>
    <row r="10" spans="1:3" hidden="1" x14ac:dyDescent="0.25">
      <c r="A10" t="s">
        <v>34</v>
      </c>
      <c r="B10">
        <v>3.0630000000000002</v>
      </c>
      <c r="C10">
        <v>122.63200000000001</v>
      </c>
    </row>
    <row r="11" spans="1:3" hidden="1" x14ac:dyDescent="0.25">
      <c r="A11" t="s">
        <v>20</v>
      </c>
      <c r="B11">
        <v>2.7240000000000002</v>
      </c>
      <c r="C11">
        <v>122.51600000000001</v>
      </c>
    </row>
    <row r="12" spans="1:3" hidden="1" x14ac:dyDescent="0.25">
      <c r="A12" t="s">
        <v>36</v>
      </c>
      <c r="B12">
        <v>2.238</v>
      </c>
      <c r="C12">
        <v>122.664</v>
      </c>
    </row>
    <row r="13" spans="1:3" hidden="1" x14ac:dyDescent="0.25">
      <c r="A13" t="s">
        <v>46</v>
      </c>
      <c r="B13">
        <v>964</v>
      </c>
      <c r="C13">
        <v>122.32599999999999</v>
      </c>
    </row>
    <row r="14" spans="1:3" hidden="1" x14ac:dyDescent="0.25">
      <c r="A14" t="s">
        <v>29</v>
      </c>
      <c r="B14">
        <v>804</v>
      </c>
      <c r="C14">
        <v>122.667</v>
      </c>
    </row>
    <row r="15" spans="1:3" x14ac:dyDescent="0.25">
      <c r="A15" t="s">
        <v>42</v>
      </c>
      <c r="B15">
        <v>765</v>
      </c>
      <c r="C15">
        <v>122.929</v>
      </c>
    </row>
    <row r="16" spans="1:3" hidden="1" x14ac:dyDescent="0.25">
      <c r="A16" t="s">
        <v>19</v>
      </c>
      <c r="B16">
        <v>586</v>
      </c>
      <c r="C16">
        <v>122.776</v>
      </c>
    </row>
    <row r="17" spans="1:3" hidden="1" x14ac:dyDescent="0.25">
      <c r="A17" t="s">
        <v>31</v>
      </c>
      <c r="B17">
        <v>385</v>
      </c>
      <c r="C17">
        <v>122.70699999999999</v>
      </c>
    </row>
    <row r="18" spans="1:3" hidden="1" x14ac:dyDescent="0.25">
      <c r="A18" t="s">
        <v>14</v>
      </c>
      <c r="B18">
        <v>318</v>
      </c>
      <c r="C18">
        <v>122.63200000000001</v>
      </c>
    </row>
    <row r="19" spans="1:3" hidden="1" x14ac:dyDescent="0.25">
      <c r="A19" t="s">
        <v>11</v>
      </c>
      <c r="B19">
        <v>300</v>
      </c>
      <c r="C19">
        <v>122.67400000000001</v>
      </c>
    </row>
    <row r="20" spans="1:3" hidden="1" x14ac:dyDescent="0.25">
      <c r="A20" t="s">
        <v>45</v>
      </c>
      <c r="B20">
        <v>103</v>
      </c>
      <c r="C20">
        <v>122.988</v>
      </c>
    </row>
    <row r="21" spans="1:3" hidden="1" x14ac:dyDescent="0.25">
      <c r="A21" t="s">
        <v>32</v>
      </c>
      <c r="B21">
        <v>10</v>
      </c>
      <c r="C21">
        <v>122.8</v>
      </c>
    </row>
    <row r="22" spans="1:3" hidden="1" x14ac:dyDescent="0.25">
      <c r="A22" t="s">
        <v>22</v>
      </c>
      <c r="B22">
        <v>-5</v>
      </c>
      <c r="C22">
        <v>122.584</v>
      </c>
    </row>
    <row r="23" spans="1:3" hidden="1" x14ac:dyDescent="0.25">
      <c r="A23" t="s">
        <v>30</v>
      </c>
      <c r="B23">
        <v>-33</v>
      </c>
      <c r="C23">
        <v>122.962</v>
      </c>
    </row>
    <row r="24" spans="1:3" hidden="1" x14ac:dyDescent="0.25">
      <c r="A24" t="s">
        <v>27</v>
      </c>
      <c r="B24">
        <v>-41</v>
      </c>
      <c r="C24">
        <v>122.49299999999999</v>
      </c>
    </row>
    <row r="25" spans="1:3" hidden="1" x14ac:dyDescent="0.25">
      <c r="A25" t="s">
        <v>24</v>
      </c>
      <c r="B25">
        <v>-102</v>
      </c>
      <c r="C25">
        <v>122.577</v>
      </c>
    </row>
    <row r="26" spans="1:3" hidden="1" x14ac:dyDescent="0.25">
      <c r="A26" t="s">
        <v>26</v>
      </c>
      <c r="B26">
        <v>-108</v>
      </c>
      <c r="C26">
        <v>122.462</v>
      </c>
    </row>
    <row r="27" spans="1:3" hidden="1" x14ac:dyDescent="0.25">
      <c r="A27" t="s">
        <v>35</v>
      </c>
      <c r="B27">
        <v>-120</v>
      </c>
      <c r="C27">
        <v>122.681</v>
      </c>
    </row>
    <row r="28" spans="1:3" hidden="1" x14ac:dyDescent="0.25">
      <c r="A28" t="s">
        <v>39</v>
      </c>
      <c r="B28">
        <v>-560</v>
      </c>
      <c r="C28">
        <v>122.63500000000001</v>
      </c>
    </row>
    <row r="29" spans="1:3" x14ac:dyDescent="0.25">
      <c r="A29" t="s">
        <v>28</v>
      </c>
      <c r="B29">
        <v>-675</v>
      </c>
      <c r="C29">
        <v>122.598</v>
      </c>
    </row>
    <row r="30" spans="1:3" hidden="1" x14ac:dyDescent="0.25">
      <c r="A30" t="s">
        <v>38</v>
      </c>
      <c r="B30">
        <v>-686</v>
      </c>
      <c r="C30">
        <v>122.614</v>
      </c>
    </row>
    <row r="31" spans="1:3" hidden="1" x14ac:dyDescent="0.25">
      <c r="A31" t="s">
        <v>21</v>
      </c>
      <c r="B31">
        <v>-705</v>
      </c>
      <c r="C31">
        <v>122.898</v>
      </c>
    </row>
    <row r="32" spans="1:3" hidden="1" x14ac:dyDescent="0.25">
      <c r="A32" t="s">
        <v>18</v>
      </c>
      <c r="B32">
        <v>-793</v>
      </c>
      <c r="C32">
        <v>122.56100000000001</v>
      </c>
    </row>
    <row r="33" spans="1:3" hidden="1" x14ac:dyDescent="0.25">
      <c r="A33" t="s">
        <v>15</v>
      </c>
      <c r="B33">
        <v>-1.127</v>
      </c>
      <c r="C33">
        <v>122.685</v>
      </c>
    </row>
    <row r="34" spans="1:3" hidden="1" x14ac:dyDescent="0.25">
      <c r="A34" t="s">
        <v>37</v>
      </c>
      <c r="B34">
        <v>-1.4159999999999999</v>
      </c>
      <c r="C34">
        <v>122.586</v>
      </c>
    </row>
    <row r="35" spans="1:3" hidden="1" x14ac:dyDescent="0.25">
      <c r="A35" t="s">
        <v>25</v>
      </c>
      <c r="B35">
        <v>-1.9910000000000001</v>
      </c>
      <c r="C35">
        <v>121.508</v>
      </c>
    </row>
    <row r="36" spans="1:3" hidden="1" x14ac:dyDescent="0.25">
      <c r="A36" t="s">
        <v>9</v>
      </c>
      <c r="B36">
        <v>-5.157</v>
      </c>
      <c r="C36">
        <v>122.604</v>
      </c>
    </row>
    <row r="37" spans="1:3" hidden="1" x14ac:dyDescent="0.25">
      <c r="A37" t="s">
        <v>16</v>
      </c>
      <c r="B37">
        <v>-5.19</v>
      </c>
      <c r="C37">
        <v>122.52800000000001</v>
      </c>
    </row>
    <row r="38" spans="1:3" hidden="1" x14ac:dyDescent="0.25">
      <c r="A38" t="s">
        <v>12</v>
      </c>
      <c r="B38">
        <v>-5.2969999999999997</v>
      </c>
      <c r="C38">
        <v>122.264</v>
      </c>
    </row>
    <row r="39" spans="1:3" x14ac:dyDescent="0.25">
      <c r="A39" t="s">
        <v>8</v>
      </c>
      <c r="B39">
        <v>-5.9130000000000003</v>
      </c>
      <c r="C39">
        <v>122.684</v>
      </c>
    </row>
    <row r="40" spans="1:3" x14ac:dyDescent="0.25">
      <c r="A40" t="s">
        <v>33</v>
      </c>
      <c r="B40">
        <v>-11.456</v>
      </c>
      <c r="C40">
        <v>122.16800000000001</v>
      </c>
    </row>
    <row r="41" spans="1:3" hidden="1" x14ac:dyDescent="0.25">
      <c r="A41" t="s">
        <v>13</v>
      </c>
      <c r="B41">
        <v>-12.686</v>
      </c>
      <c r="C41">
        <v>122.72499999999999</v>
      </c>
    </row>
    <row r="42" spans="1:3" hidden="1" x14ac:dyDescent="0.25">
      <c r="A42" t="s">
        <v>41</v>
      </c>
      <c r="B42">
        <v>-32.488999999999997</v>
      </c>
      <c r="C42">
        <v>122.572</v>
      </c>
    </row>
    <row r="43" spans="1:3" x14ac:dyDescent="0.25">
      <c r="B43">
        <f>SUM(B2,B3,B6,B15,B29,B39,B40)</f>
        <v>110.96200000000002</v>
      </c>
    </row>
  </sheetData>
  <autoFilter ref="A1:A42" xr:uid="{DA2DAAA0-3F20-404A-B238-3A76F7B645FC}">
    <filterColumn colId="0">
      <filters>
        <filter val="Citigroup"/>
        <filter val="Credit"/>
        <filter val="Goldman"/>
        <filter val="JP Morgan"/>
        <filter val="Merrill"/>
        <filter val="Morgan"/>
        <filter val="Tullett"/>
        <filter val="UBS"/>
      </filters>
    </filterColumn>
  </autoFilter>
  <pageMargins left="0.511811024" right="0.511811024" top="0.78740157499999996" bottom="0.78740157499999996" header="0.31496062000000002" footer="0.3149606200000000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35DFA-23F9-4334-B07B-4610EA81B29E}">
  <sheetPr codeName="Planilha58" filterMode="1"/>
  <dimension ref="A1:C44"/>
  <sheetViews>
    <sheetView workbookViewId="0">
      <selection activeCell="A3" sqref="A3"/>
    </sheetView>
  </sheetViews>
  <sheetFormatPr defaultRowHeight="15" x14ac:dyDescent="0.25"/>
  <sheetData>
    <row r="1" spans="1:3" x14ac:dyDescent="0.25">
      <c r="A1" t="s">
        <v>48</v>
      </c>
    </row>
    <row r="2" spans="1:3" x14ac:dyDescent="0.25">
      <c r="A2">
        <f>_xlfn.AGGREGATE(9,5,A4:B60)</f>
        <v>23392</v>
      </c>
    </row>
    <row r="3" spans="1:3" x14ac:dyDescent="0.25">
      <c r="A3" t="s">
        <v>3</v>
      </c>
      <c r="B3" t="s">
        <v>4</v>
      </c>
      <c r="C3" t="s">
        <v>5</v>
      </c>
    </row>
    <row r="4" spans="1:3" hidden="1" x14ac:dyDescent="0.25">
      <c r="A4" t="s">
        <v>39</v>
      </c>
      <c r="B4" s="1">
        <v>48950</v>
      </c>
      <c r="C4" s="1">
        <v>119280</v>
      </c>
    </row>
    <row r="5" spans="1:3" hidden="1" x14ac:dyDescent="0.25">
      <c r="A5" t="s">
        <v>6</v>
      </c>
      <c r="B5" s="1">
        <v>17660</v>
      </c>
      <c r="C5" s="1">
        <v>119488</v>
      </c>
    </row>
    <row r="6" spans="1:3" hidden="1" x14ac:dyDescent="0.25">
      <c r="A6" t="s">
        <v>37</v>
      </c>
      <c r="B6" s="1">
        <v>14489</v>
      </c>
      <c r="C6" s="1">
        <v>119515</v>
      </c>
    </row>
    <row r="7" spans="1:3" hidden="1" x14ac:dyDescent="0.25">
      <c r="A7" t="s">
        <v>9</v>
      </c>
      <c r="B7" s="1">
        <v>13546</v>
      </c>
      <c r="C7" s="1">
        <v>119498</v>
      </c>
    </row>
    <row r="8" spans="1:3" x14ac:dyDescent="0.25">
      <c r="A8" t="s">
        <v>44</v>
      </c>
      <c r="B8" s="1">
        <v>10626</v>
      </c>
      <c r="C8" s="1">
        <v>119351</v>
      </c>
    </row>
    <row r="9" spans="1:3" hidden="1" x14ac:dyDescent="0.25">
      <c r="A9" t="s">
        <v>43</v>
      </c>
      <c r="B9" s="1">
        <v>10392</v>
      </c>
      <c r="C9" s="1">
        <v>119596</v>
      </c>
    </row>
    <row r="10" spans="1:3" x14ac:dyDescent="0.25">
      <c r="A10" t="s">
        <v>8</v>
      </c>
      <c r="B10" s="1">
        <v>6767</v>
      </c>
      <c r="C10" s="1">
        <v>119488</v>
      </c>
    </row>
    <row r="11" spans="1:3" x14ac:dyDescent="0.25">
      <c r="A11" t="s">
        <v>33</v>
      </c>
      <c r="B11" s="1">
        <v>4419</v>
      </c>
      <c r="C11" s="1">
        <v>119295</v>
      </c>
    </row>
    <row r="12" spans="1:3" x14ac:dyDescent="0.25">
      <c r="A12" t="s">
        <v>28</v>
      </c>
      <c r="B12" s="1">
        <v>4177</v>
      </c>
      <c r="C12" s="1">
        <v>119564</v>
      </c>
    </row>
    <row r="13" spans="1:3" hidden="1" x14ac:dyDescent="0.25">
      <c r="A13" t="s">
        <v>11</v>
      </c>
      <c r="B13" s="1">
        <v>2967</v>
      </c>
      <c r="C13" s="1">
        <v>119477</v>
      </c>
    </row>
    <row r="14" spans="1:3" hidden="1" x14ac:dyDescent="0.25">
      <c r="A14" t="s">
        <v>10</v>
      </c>
      <c r="B14" s="1">
        <v>1215</v>
      </c>
      <c r="C14" s="1">
        <v>119546</v>
      </c>
    </row>
    <row r="15" spans="1:3" hidden="1" x14ac:dyDescent="0.25">
      <c r="A15" t="s">
        <v>25</v>
      </c>
      <c r="B15" s="1">
        <v>1111</v>
      </c>
      <c r="C15" s="1">
        <v>118830</v>
      </c>
    </row>
    <row r="16" spans="1:3" hidden="1" x14ac:dyDescent="0.25">
      <c r="A16" t="s">
        <v>19</v>
      </c>
      <c r="B16">
        <v>582</v>
      </c>
      <c r="C16" s="1">
        <v>119475</v>
      </c>
    </row>
    <row r="17" spans="1:3" hidden="1" x14ac:dyDescent="0.25">
      <c r="A17" t="s">
        <v>13</v>
      </c>
      <c r="B17">
        <v>396</v>
      </c>
      <c r="C17" s="1">
        <v>119507</v>
      </c>
    </row>
    <row r="18" spans="1:3" x14ac:dyDescent="0.25">
      <c r="A18" t="s">
        <v>7</v>
      </c>
      <c r="B18">
        <v>194</v>
      </c>
      <c r="C18" s="1">
        <v>119668</v>
      </c>
    </row>
    <row r="19" spans="1:3" hidden="1" x14ac:dyDescent="0.25">
      <c r="A19" t="s">
        <v>12</v>
      </c>
      <c r="B19">
        <v>167</v>
      </c>
      <c r="C19" s="1">
        <v>119335</v>
      </c>
    </row>
    <row r="20" spans="1:3" hidden="1" x14ac:dyDescent="0.25">
      <c r="A20" t="s">
        <v>30</v>
      </c>
      <c r="B20">
        <v>166</v>
      </c>
      <c r="C20" s="1">
        <v>119456</v>
      </c>
    </row>
    <row r="21" spans="1:3" hidden="1" x14ac:dyDescent="0.25">
      <c r="A21" t="s">
        <v>29</v>
      </c>
      <c r="B21">
        <v>160</v>
      </c>
      <c r="C21" s="1">
        <v>119445</v>
      </c>
    </row>
    <row r="22" spans="1:3" hidden="1" x14ac:dyDescent="0.25">
      <c r="A22" t="s">
        <v>26</v>
      </c>
      <c r="B22">
        <v>130</v>
      </c>
      <c r="C22" s="1">
        <v>119598</v>
      </c>
    </row>
    <row r="23" spans="1:3" hidden="1" x14ac:dyDescent="0.25">
      <c r="A23" t="s">
        <v>34</v>
      </c>
      <c r="B23">
        <v>121</v>
      </c>
      <c r="C23" s="1">
        <v>119579</v>
      </c>
    </row>
    <row r="24" spans="1:3" hidden="1" x14ac:dyDescent="0.25">
      <c r="A24" t="s">
        <v>24</v>
      </c>
      <c r="B24">
        <v>36</v>
      </c>
      <c r="C24" s="1">
        <v>119132</v>
      </c>
    </row>
    <row r="25" spans="1:3" hidden="1" x14ac:dyDescent="0.25">
      <c r="A25" t="s">
        <v>46</v>
      </c>
      <c r="B25">
        <v>24</v>
      </c>
      <c r="C25" s="1">
        <v>120043</v>
      </c>
    </row>
    <row r="26" spans="1:3" hidden="1" x14ac:dyDescent="0.25">
      <c r="A26" t="s">
        <v>22</v>
      </c>
      <c r="B26">
        <v>-1</v>
      </c>
      <c r="C26" s="1">
        <v>119285</v>
      </c>
    </row>
    <row r="27" spans="1:3" hidden="1" x14ac:dyDescent="0.25">
      <c r="A27" t="s">
        <v>45</v>
      </c>
      <c r="B27">
        <v>-1</v>
      </c>
      <c r="C27" s="1">
        <v>119282</v>
      </c>
    </row>
    <row r="28" spans="1:3" hidden="1" x14ac:dyDescent="0.25">
      <c r="A28" t="s">
        <v>31</v>
      </c>
      <c r="B28">
        <v>-121</v>
      </c>
      <c r="C28" s="1">
        <v>119512</v>
      </c>
    </row>
    <row r="29" spans="1:3" hidden="1" x14ac:dyDescent="0.25">
      <c r="A29" t="s">
        <v>32</v>
      </c>
      <c r="B29">
        <v>-127</v>
      </c>
      <c r="C29" s="1">
        <v>119325</v>
      </c>
    </row>
    <row r="30" spans="1:3" hidden="1" x14ac:dyDescent="0.25">
      <c r="A30" t="s">
        <v>27</v>
      </c>
      <c r="B30">
        <v>-241</v>
      </c>
      <c r="C30" s="1">
        <v>119405</v>
      </c>
    </row>
    <row r="31" spans="1:3" hidden="1" x14ac:dyDescent="0.25">
      <c r="A31" t="s">
        <v>21</v>
      </c>
      <c r="B31">
        <v>-259</v>
      </c>
      <c r="C31" s="1">
        <v>119454</v>
      </c>
    </row>
    <row r="32" spans="1:3" hidden="1" x14ac:dyDescent="0.25">
      <c r="A32" t="s">
        <v>18</v>
      </c>
      <c r="B32">
        <v>-495</v>
      </c>
      <c r="C32" s="1">
        <v>119496</v>
      </c>
    </row>
    <row r="33" spans="1:3" hidden="1" x14ac:dyDescent="0.25">
      <c r="A33" t="s">
        <v>38</v>
      </c>
      <c r="B33">
        <v>-586</v>
      </c>
      <c r="C33" s="1">
        <v>119524</v>
      </c>
    </row>
    <row r="34" spans="1:3" hidden="1" x14ac:dyDescent="0.25">
      <c r="A34" t="s">
        <v>16</v>
      </c>
      <c r="B34">
        <v>-658</v>
      </c>
      <c r="C34" s="1">
        <v>119478</v>
      </c>
    </row>
    <row r="35" spans="1:3" hidden="1" x14ac:dyDescent="0.25">
      <c r="A35" t="s">
        <v>23</v>
      </c>
      <c r="B35" s="1">
        <v>-1031</v>
      </c>
      <c r="C35" s="1">
        <v>119751</v>
      </c>
    </row>
    <row r="36" spans="1:3" x14ac:dyDescent="0.25">
      <c r="A36" t="s">
        <v>42</v>
      </c>
      <c r="B36" s="1">
        <v>-1198</v>
      </c>
      <c r="C36" s="1">
        <v>119420</v>
      </c>
    </row>
    <row r="37" spans="1:3" x14ac:dyDescent="0.25">
      <c r="A37" t="s">
        <v>17</v>
      </c>
      <c r="B37" s="1">
        <v>-1593</v>
      </c>
      <c r="C37" s="1">
        <v>119514</v>
      </c>
    </row>
    <row r="38" spans="1:3" hidden="1" x14ac:dyDescent="0.25">
      <c r="A38" t="s">
        <v>15</v>
      </c>
      <c r="B38" s="1">
        <v>-1628</v>
      </c>
      <c r="C38" s="1">
        <v>119495</v>
      </c>
    </row>
    <row r="39" spans="1:3" hidden="1" x14ac:dyDescent="0.25">
      <c r="A39" t="s">
        <v>14</v>
      </c>
      <c r="B39" s="1">
        <v>-1922</v>
      </c>
      <c r="C39" s="1">
        <v>119525</v>
      </c>
    </row>
    <row r="40" spans="1:3" hidden="1" x14ac:dyDescent="0.25">
      <c r="A40" t="s">
        <v>36</v>
      </c>
      <c r="B40" s="1">
        <v>-2251</v>
      </c>
      <c r="C40" s="1">
        <v>119479</v>
      </c>
    </row>
    <row r="41" spans="1:3" hidden="1" x14ac:dyDescent="0.25">
      <c r="A41" t="s">
        <v>20</v>
      </c>
      <c r="B41" s="1">
        <v>-2386</v>
      </c>
      <c r="C41" s="1">
        <v>119598</v>
      </c>
    </row>
    <row r="42" spans="1:3" hidden="1" x14ac:dyDescent="0.25">
      <c r="A42" t="s">
        <v>35</v>
      </c>
      <c r="B42" s="1">
        <v>-16119</v>
      </c>
      <c r="C42" s="1">
        <v>119484</v>
      </c>
    </row>
    <row r="43" spans="1:3" hidden="1" x14ac:dyDescent="0.25">
      <c r="A43" t="s">
        <v>40</v>
      </c>
      <c r="B43" s="1">
        <v>-47361</v>
      </c>
      <c r="C43" s="1">
        <v>119466</v>
      </c>
    </row>
    <row r="44" spans="1:3" hidden="1" x14ac:dyDescent="0.25">
      <c r="A44" t="s">
        <v>41</v>
      </c>
      <c r="B44" s="1">
        <v>-60317</v>
      </c>
      <c r="C44" s="1">
        <v>119509</v>
      </c>
    </row>
  </sheetData>
  <autoFilter ref="A3:C44" xr:uid="{EF035DFA-23F9-4334-B07B-4610EA81B29E}">
    <filterColumn colId="0">
      <filters>
        <filter val="Credit"/>
        <filter val="Goldman"/>
        <filter val="JP Morgan"/>
        <filter val="Merrill"/>
        <filter val="Morgan"/>
        <filter val="Tullett"/>
        <filter val="UBS"/>
      </filters>
    </filterColumn>
  </autoFilter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61408B0-BD6C-49D3-B65F-D8D5F1DE3E1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58</vt:i4>
      </vt:variant>
    </vt:vector>
  </HeadingPairs>
  <TitlesOfParts>
    <vt:vector size="58" baseType="lpstr">
      <vt:lpstr>Ajustes</vt:lpstr>
      <vt:lpstr>GrafAgosto</vt:lpstr>
      <vt:lpstr>GrafSetembro</vt:lpstr>
      <vt:lpstr>200921IND</vt:lpstr>
      <vt:lpstr>200921</vt:lpstr>
      <vt:lpstr>170921IND</vt:lpstr>
      <vt:lpstr>170921</vt:lpstr>
      <vt:lpstr>160921IND</vt:lpstr>
      <vt:lpstr>160921</vt:lpstr>
      <vt:lpstr>150921IND</vt:lpstr>
      <vt:lpstr>150921</vt:lpstr>
      <vt:lpstr>140921IND</vt:lpstr>
      <vt:lpstr>140921</vt:lpstr>
      <vt:lpstr>130921IND</vt:lpstr>
      <vt:lpstr>130921</vt:lpstr>
      <vt:lpstr>100921IND</vt:lpstr>
      <vt:lpstr>100921</vt:lpstr>
      <vt:lpstr>090921IND</vt:lpstr>
      <vt:lpstr>090921</vt:lpstr>
      <vt:lpstr>080921IND</vt:lpstr>
      <vt:lpstr>080921</vt:lpstr>
      <vt:lpstr>060921IND</vt:lpstr>
      <vt:lpstr>0608021</vt:lpstr>
      <vt:lpstr>030921IND</vt:lpstr>
      <vt:lpstr>030921</vt:lpstr>
      <vt:lpstr>020921IND</vt:lpstr>
      <vt:lpstr>020921</vt:lpstr>
      <vt:lpstr>010921IND</vt:lpstr>
      <vt:lpstr>010921</vt:lpstr>
      <vt:lpstr>310821IND</vt:lpstr>
      <vt:lpstr>310821</vt:lpstr>
      <vt:lpstr>300821IND</vt:lpstr>
      <vt:lpstr>300821</vt:lpstr>
      <vt:lpstr>27082IND</vt:lpstr>
      <vt:lpstr>270821</vt:lpstr>
      <vt:lpstr>260821IND</vt:lpstr>
      <vt:lpstr>260821</vt:lpstr>
      <vt:lpstr>250821IND</vt:lpstr>
      <vt:lpstr>250821</vt:lpstr>
      <vt:lpstr>240821IND</vt:lpstr>
      <vt:lpstr>240821</vt:lpstr>
      <vt:lpstr>230821IND</vt:lpstr>
      <vt:lpstr>230821</vt:lpstr>
      <vt:lpstr>200821</vt:lpstr>
      <vt:lpstr>190821</vt:lpstr>
      <vt:lpstr>180821</vt:lpstr>
      <vt:lpstr>170821</vt:lpstr>
      <vt:lpstr>160821</vt:lpstr>
      <vt:lpstr>130821</vt:lpstr>
      <vt:lpstr>120821</vt:lpstr>
      <vt:lpstr>110821</vt:lpstr>
      <vt:lpstr>100821</vt:lpstr>
      <vt:lpstr>090821</vt:lpstr>
      <vt:lpstr>060821</vt:lpstr>
      <vt:lpstr>050821</vt:lpstr>
      <vt:lpstr>040821</vt:lpstr>
      <vt:lpstr>030821</vt:lpstr>
      <vt:lpstr>020821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Pappetti</dc:creator>
  <cp:lastModifiedBy>Gustavo Pappetti</cp:lastModifiedBy>
  <dcterms:created xsi:type="dcterms:W3CDTF">2021-08-09T11:00:03Z</dcterms:created>
  <dcterms:modified xsi:type="dcterms:W3CDTF">2021-11-23T19:16:34Z</dcterms:modified>
</cp:coreProperties>
</file>